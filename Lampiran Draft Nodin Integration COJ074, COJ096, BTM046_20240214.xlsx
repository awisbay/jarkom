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ricsson-my.sharepoint.com/personal/mochammad_gumilar_ericsson_com/Documents/Documents/TELKOMSEL/"/>
    </mc:Choice>
  </mc:AlternateContent>
  <xr:revisionPtr revIDLastSave="155" documentId="13_ncr:1_{F0029774-CD32-4350-ABBD-093FDEFA3BBC}" xr6:coauthVersionLast="47" xr6:coauthVersionMax="47" xr10:uidLastSave="{AD973BAD-CD6A-477F-898A-94E957478392}"/>
  <bookViews>
    <workbookView xWindow="-120" yWindow="-120" windowWidth="20730" windowHeight="11310" tabRatio="457" xr2:uid="{00000000-000D-0000-FFFF-FFFF00000000}"/>
  </bookViews>
  <sheets>
    <sheet name="Template Entry" sheetId="1" r:id="rId1"/>
    <sheet name="old location" sheetId="3" r:id="rId2"/>
    <sheet name="Tutorial &amp; Sample Entry" sheetId="2" r:id="rId3"/>
  </sheets>
  <definedNames>
    <definedName name="_xlnm._FilterDatabase" localSheetId="0" hidden="1">'Template Entry'!$A$2:$BY$9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7" i="1" l="1"/>
  <c r="BQ5" i="1"/>
  <c r="BQ3" i="1"/>
</calcChain>
</file>

<file path=xl/sharedStrings.xml><?xml version="1.0" encoding="utf-8"?>
<sst xmlns="http://schemas.openxmlformats.org/spreadsheetml/2006/main" count="1727" uniqueCount="583">
  <si>
    <t>2G</t>
  </si>
  <si>
    <t>3G</t>
  </si>
  <si>
    <t>4G / 5G</t>
  </si>
  <si>
    <t>order_id</t>
  </si>
  <si>
    <t>remedy_activity</t>
  </si>
  <si>
    <t>vendor</t>
  </si>
  <si>
    <t>network_type_band</t>
  </si>
  <si>
    <t>site_id</t>
  </si>
  <si>
    <t>ne_id</t>
  </si>
  <si>
    <t>BTS/NodeB/eNodeB/gNodeB_Name</t>
  </si>
  <si>
    <t>Site Name OSS</t>
  </si>
  <si>
    <t>Cell ID</t>
  </si>
  <si>
    <t>Cell Name</t>
  </si>
  <si>
    <t>SoW</t>
  </si>
  <si>
    <t>Longitude</t>
  </si>
  <si>
    <t>Latitude</t>
  </si>
  <si>
    <t>Province</t>
  </si>
  <si>
    <t>Kabupaten</t>
  </si>
  <si>
    <t>Kecamatan</t>
  </si>
  <si>
    <t>Kelurahan</t>
  </si>
  <si>
    <t>Address</t>
  </si>
  <si>
    <t>LOC No</t>
  </si>
  <si>
    <t>Regional</t>
  </si>
  <si>
    <t>Network Area</t>
  </si>
  <si>
    <t>Branch</t>
  </si>
  <si>
    <t>Cluster SCS</t>
  </si>
  <si>
    <t>Time Zone</t>
  </si>
  <si>
    <t>NE Type</t>
  </si>
  <si>
    <t>Type BTS</t>
  </si>
  <si>
    <t>Config</t>
  </si>
  <si>
    <t>Antenna Type</t>
  </si>
  <si>
    <t>Antenna Height</t>
  </si>
  <si>
    <t>Azimut</t>
  </si>
  <si>
    <t>M-Tilt Antena</t>
  </si>
  <si>
    <t>E-Tilt Antena</t>
  </si>
  <si>
    <t>Tower Provider</t>
  </si>
  <si>
    <t>LAC</t>
  </si>
  <si>
    <t>BSC/RNC Name</t>
  </si>
  <si>
    <t>BSC SPC</t>
  </si>
  <si>
    <t>RAC</t>
  </si>
  <si>
    <t>URA ID</t>
  </si>
  <si>
    <t>MSS SPC</t>
  </si>
  <si>
    <t>WBTS ID</t>
  </si>
  <si>
    <t>MSS Name</t>
  </si>
  <si>
    <t>MSS</t>
  </si>
  <si>
    <t>RNC Name</t>
  </si>
  <si>
    <t>SPC</t>
  </si>
  <si>
    <t>SAC</t>
  </si>
  <si>
    <t>SC</t>
  </si>
  <si>
    <t>MGW</t>
  </si>
  <si>
    <t>ID</t>
  </si>
  <si>
    <t>MCC</t>
  </si>
  <si>
    <t>MNC</t>
  </si>
  <si>
    <t>Frequency</t>
  </si>
  <si>
    <t>F1/F2/F3/U900</t>
  </si>
  <si>
    <t>TAL</t>
  </si>
  <si>
    <t>TAC</t>
  </si>
  <si>
    <t>PCI</t>
  </si>
  <si>
    <t>MOD3</t>
  </si>
  <si>
    <t>PRACH</t>
  </si>
  <si>
    <t>MOD6</t>
  </si>
  <si>
    <t>Cell Radius (m)</t>
  </si>
  <si>
    <t>eNodeB/gNodeB Id</t>
  </si>
  <si>
    <t>eNodeB/gNodeB Id (Hexa)</t>
  </si>
  <si>
    <t>Frequency Band</t>
  </si>
  <si>
    <t>DL EARFCN</t>
  </si>
  <si>
    <t>UL EARFCN</t>
  </si>
  <si>
    <t>MME</t>
  </si>
  <si>
    <t>S-GW</t>
  </si>
  <si>
    <t>P-GW</t>
  </si>
  <si>
    <t>TELKOMSEL</t>
  </si>
  <si>
    <t>TBG</t>
  </si>
  <si>
    <t>Sample Entry :</t>
  </si>
  <si>
    <t>Huawei</t>
  </si>
  <si>
    <t>BDG124</t>
  </si>
  <si>
    <t>BDG124MG1</t>
  </si>
  <si>
    <t>E_BDG124_PASIRJAMBU</t>
  </si>
  <si>
    <t>BDG124_PASIRJAMBU</t>
  </si>
  <si>
    <t>C_BDG124MG1_PASIRJAMBU_MG03</t>
  </si>
  <si>
    <t>Re-Engineering 2G</t>
  </si>
  <si>
    <t>Jawa Barat</t>
  </si>
  <si>
    <t>BANDUNG</t>
  </si>
  <si>
    <t>PASIRJAMBU</t>
  </si>
  <si>
    <t>CUKANGGENTENG</t>
  </si>
  <si>
    <t>KP. CUKANG GENTENG RT.01/01 DS. CUKANG GENTENG</t>
  </si>
  <si>
    <t>Regional 04</t>
  </si>
  <si>
    <t>Area 02</t>
  </si>
  <si>
    <t>SOREANG</t>
  </si>
  <si>
    <t>WIB</t>
  </si>
  <si>
    <t>Macro</t>
  </si>
  <si>
    <t>BTS3900</t>
  </si>
  <si>
    <t>S111</t>
  </si>
  <si>
    <t>APE4516R1v06</t>
  </si>
  <si>
    <t>30;215;320</t>
  </si>
  <si>
    <t>0;0;0</t>
  </si>
  <si>
    <t>2;2;2</t>
  </si>
  <si>
    <t>MBSC_DayeuhKolot</t>
  </si>
  <si>
    <t>WBDG5,WBDG10,WBDG11,WBDG12</t>
  </si>
  <si>
    <t>MSS POLL</t>
  </si>
  <si>
    <t>BDS674</t>
  </si>
  <si>
    <t>BDS674MG1</t>
  </si>
  <si>
    <t>E_BDS674_KPMANGGAHANG-DMT</t>
  </si>
  <si>
    <t>BDS674_KPMANGGAHANG-DMT</t>
  </si>
  <si>
    <t>56741;56742;56743</t>
  </si>
  <si>
    <t>C_BDS674MG1_KPMANGGAHANG-DMT_MG01;C_BDS674MG1_KPMANGGAHANG-DMT_MG02;C_BDS674MG1_KPMANGGAHANG-DMT_MG03</t>
  </si>
  <si>
    <t>BALEENDAH</t>
  </si>
  <si>
    <t>MANGGAHANG</t>
  </si>
  <si>
    <t>kp. Manggahang Rt.02 Rw. 06 Kel. Manggahang Kec. Baleendah Kab. Bandung</t>
  </si>
  <si>
    <t>120;230;350</t>
  </si>
  <si>
    <t>PT. Dayamitra Telekomunikasi</t>
  </si>
  <si>
    <t>MBSC_BaleEndah</t>
  </si>
  <si>
    <t>CJR657</t>
  </si>
  <si>
    <t>CJR657MG1</t>
  </si>
  <si>
    <t>E_CJR657_KPLEMBURKEBON-DMT</t>
  </si>
  <si>
    <t>CJR657_KPLEMBURKEBON-DMT</t>
  </si>
  <si>
    <t>36571;36577</t>
  </si>
  <si>
    <t>C_CJR657MG1_KPLEMBURKEBON-DMT_MG01;C_CJR657MG1_KPLEMBURKEBON-DMT_MG04</t>
  </si>
  <si>
    <t>CIANJUR</t>
  </si>
  <si>
    <t>PACET</t>
  </si>
  <si>
    <t>CIBODAS</t>
  </si>
  <si>
    <t>Kp. Lembur Kebon RT. 001 RW. 001, Desa Cibodas, Kec. Pacet, Kab. Cianjur</t>
  </si>
  <si>
    <t>AMB4519R0v06</t>
  </si>
  <si>
    <t>MBSC_CIANJUR</t>
  </si>
  <si>
    <t>MGWBDG3, MGWBDG4, MGWBDG8, MGWBDG9</t>
  </si>
  <si>
    <t>GRT108</t>
  </si>
  <si>
    <t>GRT108MG1</t>
  </si>
  <si>
    <t>E_GRT108_CISALAM</t>
  </si>
  <si>
    <t>GRT108_CISALAM</t>
  </si>
  <si>
    <t>C_GRT108MG1_CISALAM_MG04</t>
  </si>
  <si>
    <t>GARUT</t>
  </si>
  <si>
    <t>PAMEUNGPEUK</t>
  </si>
  <si>
    <t>BOJONGKIDUL</t>
  </si>
  <si>
    <t>JL. DESA BOJONG KP. CISALAM RT 02/ 03 KEL. BOJONG KEC. PAMENGPEUK KAB. GARUT</t>
  </si>
  <si>
    <t>TASIKMALAYA</t>
  </si>
  <si>
    <t>MBSC_KARANGPAWITAN</t>
  </si>
  <si>
    <t>GRT117</t>
  </si>
  <si>
    <t>GRT117MG1</t>
  </si>
  <si>
    <t>E_GRT117_DSSUKAMUKTI</t>
  </si>
  <si>
    <t>GRT117_DSSUKAMUKTI</t>
  </si>
  <si>
    <t>C_GRT117MG1_DSSUKAMUKTI_MG03</t>
  </si>
  <si>
    <t>CISOMPET</t>
  </si>
  <si>
    <t>SUKAMUKTI</t>
  </si>
  <si>
    <t>KP. SUKAMAJU RT 02/ 03 KEL. DESA SUKAMUKTI KEC. CISOMPET KAB. GARUT</t>
  </si>
  <si>
    <t>0;50;200</t>
  </si>
  <si>
    <t>GRT198</t>
  </si>
  <si>
    <t>GRT198MG1</t>
  </si>
  <si>
    <t>E_GRT198_PANYINDANGAN-TBG</t>
  </si>
  <si>
    <t>GRT198_PANYINDANGAN-TBG</t>
  </si>
  <si>
    <t>41987;41988</t>
  </si>
  <si>
    <t>C_GRT198MG1_PANYINDANGAN-TBG_MG04;C_GRT198MG1_PANYINDANGAN-TBG_MG05</t>
  </si>
  <si>
    <t>SUKANAGARA</t>
  </si>
  <si>
    <t>Ds. Patok Beusi RT 003/011 Kelurahan panyindangan Kecamatan Cisompet Kabupaten Garut.</t>
  </si>
  <si>
    <t>10;120</t>
  </si>
  <si>
    <t>PT. Tower Bersama Group</t>
  </si>
  <si>
    <t>MJL079</t>
  </si>
  <si>
    <t>MJL079MG1</t>
  </si>
  <si>
    <t>E_MJL079_SADASARI-TBG</t>
  </si>
  <si>
    <t>MJL079_SADASARI-TBG</t>
  </si>
  <si>
    <t>40792;40798</t>
  </si>
  <si>
    <t>C_MJL079MG1_SADASARI-TBG_MG02;C_MJL079MG1_SADASARI-TBG_MG05</t>
  </si>
  <si>
    <t>MAJALENGKA</t>
  </si>
  <si>
    <t>ARGAPURA</t>
  </si>
  <si>
    <t>SADASARI</t>
  </si>
  <si>
    <t>Desa Putera Demang Desa Sadasari Kec Argapura Kabupaten Majalengka Jawa Barat</t>
  </si>
  <si>
    <t>CIREBON</t>
  </si>
  <si>
    <t>KUNINGAN</t>
  </si>
  <si>
    <t>MBSC_Watuwelah2</t>
  </si>
  <si>
    <t>WBDG13,WBDG14</t>
  </si>
  <si>
    <t>SUB514</t>
  </si>
  <si>
    <t>SUB514MG1</t>
  </si>
  <si>
    <t>E_SUB514_KELBELEDUNG-IBS</t>
  </si>
  <si>
    <t>SUB514_KELBELEDUNG-IBS</t>
  </si>
  <si>
    <t>45143;45149</t>
  </si>
  <si>
    <t>C_SUB514MG1_KELBELEDUNG-IBS_MG03;C_SUB514MG1_KELBELEDUNG-IBS_MG06</t>
  </si>
  <si>
    <t>SUBANG</t>
  </si>
  <si>
    <t>CIBOGO</t>
  </si>
  <si>
    <t>SUKAMELANG</t>
  </si>
  <si>
    <t>Kamp. Babakan Bandung Kel. Belendung Kec. Subang</t>
  </si>
  <si>
    <t>PT. INTI BANGUN SEJAHTERA</t>
  </si>
  <si>
    <t>MBSC_KALIJATI</t>
  </si>
  <si>
    <t>MGWBDG1</t>
  </si>
  <si>
    <t>SUB527</t>
  </si>
  <si>
    <t>SUB527MG1</t>
  </si>
  <si>
    <t>E_SUB527_CIATER2-DMT</t>
  </si>
  <si>
    <t>SUB527_CIATER2-DMT</t>
  </si>
  <si>
    <t>C_SUB527MG1_CIATER2-DMT_MG05</t>
  </si>
  <si>
    <t>CIATER</t>
  </si>
  <si>
    <t>Jl. Pabrik Lama Ds Ciater Kec Cagak-Subang</t>
  </si>
  <si>
    <t>TSK461</t>
  </si>
  <si>
    <t>TSK461MD1</t>
  </si>
  <si>
    <t>E_TSK461_SETIAWARGI-DMT</t>
  </si>
  <si>
    <t>TSK461_SETIAWARGI-DMT</t>
  </si>
  <si>
    <t>44615;44618</t>
  </si>
  <si>
    <t>C_TSK461MD1_SETIAWARGI-DMT_MD02;C_TSK461MD1_SETIAWARGI-DMT_MD05</t>
  </si>
  <si>
    <t>KOTA TASIKMALAYA</t>
  </si>
  <si>
    <t>TAMANSARI</t>
  </si>
  <si>
    <t>SETIAWARGI</t>
  </si>
  <si>
    <t>Kp. Sukasari RT.01/ RW.03 Ds. Setiawargi, Kec. Tamansari,  Kota Tasikmalaya</t>
  </si>
  <si>
    <t>AMB4520R0</t>
  </si>
  <si>
    <t>MBSC_STOTasikmalaya</t>
  </si>
  <si>
    <t>MGW Bandung 2</t>
  </si>
  <si>
    <t>CRB968</t>
  </si>
  <si>
    <t>CRB968MW1</t>
  </si>
  <si>
    <t>E_CRB968_KPMUKTIPABEDILAN-CMI</t>
  </si>
  <si>
    <t>CRB968_KPMUKTIPABEDILAN-CMI</t>
  </si>
  <si>
    <t>9681;9682;9683;9684;9685;9686</t>
  </si>
  <si>
    <t>C_CRB968MW1_KPMUKTIPABEDILAN-CMI_MW01;C_CRB968MW1_KPMUKTIPABEDILAN-CMI_MW02;C_CRB968MW1_KPMUKTIPABEDILAN-CMI_MW03;C_CRB968MX1_KPMUKTIPABEDILAN-CMI_MX01;C_CRB968MX1_KPMUKTIPABEDILAN-CMI_MX02;C_CRB968MX1_KPMUKTIPABEDILAN-CMI_MX03</t>
  </si>
  <si>
    <t>Re-Engineering 3G</t>
  </si>
  <si>
    <t>PABEDILAN</t>
  </si>
  <si>
    <t>BABAKAN LOSARI</t>
  </si>
  <si>
    <t>Kp Mukti RT 006 Rw 002,  Desa Babakan Losari Lor, Kec. Pabedilan Kab. Cirebon</t>
  </si>
  <si>
    <t>S222</t>
  </si>
  <si>
    <t>85;205;295</t>
  </si>
  <si>
    <t>CMI</t>
  </si>
  <si>
    <t>RNC_Karyamulya3</t>
  </si>
  <si>
    <t>11;19;27;11;19;27</t>
  </si>
  <si>
    <t>Pooling</t>
  </si>
  <si>
    <t>U2100</t>
  </si>
  <si>
    <t>F2</t>
  </si>
  <si>
    <t>MJL325</t>
  </si>
  <si>
    <t>MJL325MW1</t>
  </si>
  <si>
    <t>E_MJL325_CIBENTARJATIWANGI-TBG</t>
  </si>
  <si>
    <t>MJL325_CIBENTARJATIWANGI-TBG</t>
  </si>
  <si>
    <t>13251;13252;13253;13254;13255;13256</t>
  </si>
  <si>
    <t>C_MJL325MW1_CIBENTARJATIWANGI-TBG_MW01;C_MJL325MW1_CIBENTARJATIWANGI-TBG_MW02;C_MJL325MW1_CIBENTARJATIWANGI-TBG_MW03;C_MJL325MX1_CIBENTARJATIWANGI-TBG_MX01;C_MJL325MX1_CIBENTARJATIWANGI-TBG_MX02;C_MJL325MX1_CIBENTARJATIWANGI-TBG_MX03</t>
  </si>
  <si>
    <t>JATIWANGI</t>
  </si>
  <si>
    <t>CIBENTAR</t>
  </si>
  <si>
    <t>Blok Ahad Rt 008 Rw 003, Desa Cibentar  Kec Jatiwangi Kabupaten Majalengka Provinsi Jawa Barat</t>
  </si>
  <si>
    <t>180;240;345</t>
  </si>
  <si>
    <t>RNC_KaryaMulya2</t>
  </si>
  <si>
    <t>152;160;168;152;160;168</t>
  </si>
  <si>
    <t>IND371</t>
  </si>
  <si>
    <t>IND371MW1</t>
  </si>
  <si>
    <t>E_IND371_BLOKPLASAHGANTARDMT-DMT</t>
  </si>
  <si>
    <t>IND371_BLOKPLASAHGANTARDMT-DMT</t>
  </si>
  <si>
    <t>23711;23712;23713;23714;23715;23716</t>
  </si>
  <si>
    <t>C_IND371MW1_BLOKPLASAHGANTARDMT-DMT_MW01;C_IND371MW1_BLOKPLASAHGANTARDMT-DMT_MW02;C_IND371MW1_BLOKPLASAHGANTARDMT-DMT_MW03;C_IND371MX1_BLOKPLASAHGANTARDMT-DMT_MX01;C_IND371MX1_BLOKPLASAHGANTARDMT-DMT_MX02;C_IND371MX1_BLOKPLASAHGANTARDMT-DMT_MX03</t>
  </si>
  <si>
    <t>INDRAMAYU</t>
  </si>
  <si>
    <t>GANTAR</t>
  </si>
  <si>
    <t xml:space="preserve">Blok Plasah RT01 RW10 Ds. Gantar Kec. Gantar Kab. Indramayu </t>
  </si>
  <si>
    <t>10;90;200</t>
  </si>
  <si>
    <t>DMT</t>
  </si>
  <si>
    <t>9;17;25;9;17;25</t>
  </si>
  <si>
    <t>4G</t>
  </si>
  <si>
    <t>BDB007</t>
  </si>
  <si>
    <t>BDB007MT1</t>
  </si>
  <si>
    <t>E_BDB007M41_KPCIJAWA-TBG</t>
  </si>
  <si>
    <t>BDB007_KPCIJAWA-TBG</t>
  </si>
  <si>
    <t>12;22;32</t>
  </si>
  <si>
    <t>C_KPCIJAWA-TBG_MT01;C_KPCIJAWA-TBG_MT02;C_KPCIJAWA-TBG_MT03</t>
  </si>
  <si>
    <t>Re-Engineering 4G</t>
  </si>
  <si>
    <t>BANDUNG BARAT</t>
  </si>
  <si>
    <t>CIPEUNDEUY</t>
  </si>
  <si>
    <t>SUKAHAJI</t>
  </si>
  <si>
    <t xml:space="preserve">jl sukahaji kp cijawa rt 2 rw 7 ds sukahaji kec cipendey kab bandung barat </t>
  </si>
  <si>
    <t>75;230;290</t>
  </si>
  <si>
    <t>1;1;1</t>
  </si>
  <si>
    <t>84;85;86</t>
  </si>
  <si>
    <t>0;1;2</t>
  </si>
  <si>
    <t>30;576;702</t>
  </si>
  <si>
    <t>6939F</t>
  </si>
  <si>
    <t>MME POOLING JABAR</t>
  </si>
  <si>
    <t>BDB026</t>
  </si>
  <si>
    <t>BDB026MT1</t>
  </si>
  <si>
    <t>E_BDB026M41_KBNPANGLEJAR-TBG</t>
  </si>
  <si>
    <t>BDB026_KBNPANGLEJAR-TBG</t>
  </si>
  <si>
    <t>C_KBNPANGLEJAR-TBG_MT01;C_KBNPANGLEJAR-TBG_MT02;C_KBNPANGLEJAR-TBG_MT03</t>
  </si>
  <si>
    <t>CIPATAT</t>
  </si>
  <si>
    <t>RAJAMANDALA KULON</t>
  </si>
  <si>
    <t>KEBUN PANGLEJAR. AFDELING RAJA MANDALA, KAB. BANDUNG BARAT</t>
  </si>
  <si>
    <t>ATR451704V01</t>
  </si>
  <si>
    <t>30;180;240</t>
  </si>
  <si>
    <t>306;307;308</t>
  </si>
  <si>
    <t>438;18;666</t>
  </si>
  <si>
    <t>693B2</t>
  </si>
  <si>
    <t>BDB135</t>
  </si>
  <si>
    <t>BDB135MT1</t>
  </si>
  <si>
    <t>E_BDB135M41_JLMAROKO-DMT</t>
  </si>
  <si>
    <t>BDB135_JLMAROKO-DMT</t>
  </si>
  <si>
    <t>C_JLMAROKO-DMT_MT01;C_JLMAROKO-DMT_MT02;C_JLMAROKO-DMT_MT03</t>
  </si>
  <si>
    <t>CIHAMPELAS</t>
  </si>
  <si>
    <t>MEKARJAYA</t>
  </si>
  <si>
    <t>Jl. Maroko Rt. 04/03 Kl Mekar Jaya Kc. Cicalengka Kb. Bandung</t>
  </si>
  <si>
    <t>60;215;310</t>
  </si>
  <si>
    <t>162;164;163</t>
  </si>
  <si>
    <t>828;714;216</t>
  </si>
  <si>
    <t>6941F</t>
  </si>
  <si>
    <t>BDB144</t>
  </si>
  <si>
    <t>BDB144MT1</t>
  </si>
  <si>
    <t>E_BDB144M41_PASIRTEUREUP-STP</t>
  </si>
  <si>
    <t>BDB144_PASIRTEUREUP-STP</t>
  </si>
  <si>
    <t>C_PASIRTEUREUP-STP_MT01;C_PASIRTEUREUP-STP_MT02;C_PASIRTEUREUP-STP_MT03</t>
  </si>
  <si>
    <t>CIPONGKOR</t>
  </si>
  <si>
    <t>CIJENUK</t>
  </si>
  <si>
    <t>Kp. Pasir teureup RT02/RW03 desa Cijenuk Kecamatan Cipongkor Kab. Bandung Barat</t>
  </si>
  <si>
    <t>45;95;275</t>
  </si>
  <si>
    <t>PT. SOLUSI TUNAS PRATAMA</t>
  </si>
  <si>
    <t>171;172;173</t>
  </si>
  <si>
    <t>312;6;456</t>
  </si>
  <si>
    <t>69428</t>
  </si>
  <si>
    <t>BDB198</t>
  </si>
  <si>
    <t>BDB198TE1</t>
  </si>
  <si>
    <t>E_BDB198M41_NEGLASARIBTJJR-TBG</t>
  </si>
  <si>
    <t>BDB198_NEGLASARIBTJJR-TBG</t>
  </si>
  <si>
    <t>24;34;54;64</t>
  </si>
  <si>
    <t>C_NEGLASARIBTJJR-TBG_TE02;C_NEGLASARIBTJJR-TBG_TE03;C_NEGLASARIBTJJR-TBG_TE05;C_NEGLASARIBTJJR-TBG_TE06</t>
  </si>
  <si>
    <t>BATUJAJAR</t>
  </si>
  <si>
    <t>GALANGGANG</t>
  </si>
  <si>
    <t>kp neglasari rt 01 rw 14 desa gelanggang kec batujajar kab bandung baratBATUJAJARBANDUNG BARAT</t>
  </si>
  <si>
    <t>S222222</t>
  </si>
  <si>
    <t>ASI4518R42v06</t>
  </si>
  <si>
    <t>60;310;60;310</t>
  </si>
  <si>
    <t>10;11;12;13</t>
  </si>
  <si>
    <t>660;60;72;78</t>
  </si>
  <si>
    <t>6945E</t>
  </si>
  <si>
    <t>BDB198TF1</t>
  </si>
  <si>
    <t>25;35;55;65</t>
  </si>
  <si>
    <t>C_NEGLASARIBTJJR-TBG_TF02;C_NEGLASARIBTJJR-TBG_TF03;C_NEGLASARIBTJJR-TBG_TF05;C_NEGLASARIBTJJR-TBG_TF06</t>
  </si>
  <si>
    <t>BDB241</t>
  </si>
  <si>
    <t>BDB241MT1</t>
  </si>
  <si>
    <t>E_BDB241M41_PATROLPALINTANG-DMT</t>
  </si>
  <si>
    <t>BDB241_PATROLPALINTANG-DMT</t>
  </si>
  <si>
    <t>C_PATROLPALINTANG-DMT_MT01;C_PATROLPALINTANG-DMT_MT02;C_PATROLPALINTANG-DMT_MT03</t>
  </si>
  <si>
    <t>LEMBANG</t>
  </si>
  <si>
    <t>SUNTENJAYA</t>
  </si>
  <si>
    <t>kp. Patrol Rt 03 Rw 06 desa suntenjaya kec. Lembang kab bdg barat</t>
  </si>
  <si>
    <t>100;290;0</t>
  </si>
  <si>
    <t>297;298;299</t>
  </si>
  <si>
    <t>660;414;804</t>
  </si>
  <si>
    <t>69489</t>
  </si>
  <si>
    <t>[Auto-Filled by System]</t>
  </si>
  <si>
    <t>[Limited Option]</t>
  </si>
  <si>
    <t>[Need Manual Entry]</t>
  </si>
  <si>
    <t>DDI</t>
  </si>
  <si>
    <t>Refer to Order entry</t>
  </si>
  <si>
    <t>NE ID structured</t>
  </si>
  <si>
    <t>Cell Name structured</t>
  </si>
  <si>
    <t>Refer to Order Description</t>
  </si>
  <si>
    <t>Refer to Amesty Data</t>
  </si>
  <si>
    <t>Ericsson</t>
  </si>
  <si>
    <t>WITA</t>
  </si>
  <si>
    <t>Indoor</t>
  </si>
  <si>
    <t>WIT</t>
  </si>
  <si>
    <t>Hotel</t>
  </si>
  <si>
    <t>MTM</t>
  </si>
  <si>
    <t>5G</t>
  </si>
  <si>
    <t>Outdoor</t>
  </si>
  <si>
    <t>Nokia</t>
  </si>
  <si>
    <t>LTE 8T8R</t>
  </si>
  <si>
    <t>ZTE</t>
  </si>
  <si>
    <t>Massive MIMO</t>
  </si>
  <si>
    <t>Others</t>
  </si>
  <si>
    <t>Note:</t>
  </si>
  <si>
    <t>1. File excel download ini berisi semua list site yang berada di bucket inbox RANE</t>
  </si>
  <si>
    <t>2.a. Untuk site dengan program multiple NE-ID (lebih dari 1 NE-ID yg akan didaftarkan dalam site tsb),</t>
  </si>
  <si>
    <t xml:space="preserve">2.b. Agar dapat insert row, kemudian meng-copy - paste data yang sudah ada dalam row sebelumnya (data yg Auto-Filled dalam file download) </t>
  </si>
  <si>
    <t>3. List yang 'belum akan' diajukan ke proses pengajuan Nodin, dapat di delete row</t>
  </si>
  <si>
    <t>4. List yang sudah di-submit untuk pengajuan Nodin akan dihapus dari bucket inbox RANE, sehingga tidak akan muncul lagi pada sesi excel download berikutnya</t>
  </si>
  <si>
    <t>N/A</t>
  </si>
  <si>
    <t>Area 01</t>
  </si>
  <si>
    <t>Regional 10</t>
  </si>
  <si>
    <t>Remark</t>
  </si>
  <si>
    <t>Integration</t>
  </si>
  <si>
    <t>Tsel</t>
  </si>
  <si>
    <t>EQP New NE 4G LTE L900 17.7 Mhz</t>
  </si>
  <si>
    <t>Sumbar</t>
  </si>
  <si>
    <t>131</t>
  </si>
  <si>
    <t>RBS6630</t>
  </si>
  <si>
    <t>17.7 Mhz</t>
  </si>
  <si>
    <t>4;4;4</t>
  </si>
  <si>
    <t>3;3;3 (TRX)</t>
  </si>
  <si>
    <t>Padang</t>
  </si>
  <si>
    <t>EQP New NE GSM 900 TRX 3/3/3</t>
  </si>
  <si>
    <t>MiP</t>
  </si>
  <si>
    <t>MME Pool</t>
  </si>
  <si>
    <t>SGW Pool Sumbagteng</t>
  </si>
  <si>
    <t>PGW Pool Sumbagteng</t>
  </si>
  <si>
    <t>GSM 900</t>
  </si>
  <si>
    <t>Polling</t>
  </si>
  <si>
    <t>COJ074MT1</t>
  </si>
  <si>
    <t>COJ074MG1</t>
  </si>
  <si>
    <t>COJ074</t>
  </si>
  <si>
    <t>C_COJ074M41_SILAYANG-PARIT-PANJANG</t>
  </si>
  <si>
    <t>C_COJ074M21_SILAYANG-PARIT-PANJANG</t>
  </si>
  <si>
    <t>C_COJ074M41_SILAYANGPARITPANJANG</t>
  </si>
  <si>
    <t>C_COJ074M21_SILAYANGPARITPANJANG</t>
  </si>
  <si>
    <t>C_COJ074MT1_SILAYANGPARITPANJANG_MT01;C_COJ074MT1_SILAYANGPARITPANJANG_MT02;C_COJ074MT1_SILAYANGPARITPANJANG_MT03</t>
  </si>
  <si>
    <t>C_COJ074MG1_SILAYANGPARITPANJANG_MG01;C_COJ074MG1_SILAYANGPARITPANJANG_MG02;C_COJ074MG1_SILAYANGPARITPANJANG_MG03</t>
  </si>
  <si>
    <t>12,22.32</t>
  </si>
  <si>
    <t>S-WAVE 0809/U/U-65-18DV8-B3 Rosenberger (6Ports 900/1800/2100)</t>
  </si>
  <si>
    <t>15/15/15</t>
  </si>
  <si>
    <t>Alamat : Silayang Tinggi Jorong VI Parik Panjang Nagari Lubuk Basung Kecamatan Lubuk Basung Kabupaten Agam Propinsi Sumatera Barat</t>
  </si>
  <si>
    <t>Bukit Tinggi</t>
  </si>
  <si>
    <t>100.07939</t>
  </si>
  <si>
    <t>COJ096</t>
  </si>
  <si>
    <t>COJ096MT1</t>
  </si>
  <si>
    <t>COJ096MG1</t>
  </si>
  <si>
    <t>75/200/285</t>
  </si>
  <si>
    <t>90/ 250/ 310</t>
  </si>
  <si>
    <t>Muka Kuning</t>
  </si>
  <si>
    <t>Kotamadya Batam</t>
  </si>
  <si>
    <t>1.076828</t>
  </si>
  <si>
    <t>104.020437</t>
  </si>
  <si>
    <t xml:space="preserve">Agam </t>
  </si>
  <si>
    <t>Lubuk Basung</t>
  </si>
  <si>
    <t>Silayang Tinggi Jorong VI Parik Panjang Nagari Lubuk Basung</t>
  </si>
  <si>
    <t>Rosenberger_0809UU6518DV8B3 (6Ports 900/1800/2100)</t>
  </si>
  <si>
    <t>Batam</t>
  </si>
  <si>
    <t>Batam Kota</t>
  </si>
  <si>
    <t>BTM046</t>
  </si>
  <si>
    <t>N-BTM046MM1-SP Plaza-Batu Aji</t>
  </si>
  <si>
    <t>Batam kota</t>
  </si>
  <si>
    <t>Sagulung Kota Batam</t>
  </si>
  <si>
    <t xml:space="preserve">Batam </t>
  </si>
  <si>
    <t>Omni_Indoor</t>
  </si>
  <si>
    <t>MAC</t>
  </si>
  <si>
    <t>510</t>
  </si>
  <si>
    <t>10</t>
  </si>
  <si>
    <t>BTM046ML</t>
  </si>
  <si>
    <t>N-BTM046MM1-SP Plaza-Batu Aji_ML01</t>
  </si>
  <si>
    <t>EQP New NE 4G LTE L1800 17.7 Mhz</t>
  </si>
  <si>
    <t>Tongyu TTB-809017/182017/182017DE-65F (6Ports 900/1800/2100);Tongyu TTB-809017/182017/182017DE-65F (6Ports 900/1800/2100);Tongyu TTB-809017/182017/182017DE-65F (6Ports 900/1800/2100)</t>
  </si>
  <si>
    <t>BPAR2</t>
  </si>
  <si>
    <t>BVBTM1</t>
  </si>
  <si>
    <t>Vendor</t>
  </si>
  <si>
    <t>Site</t>
  </si>
  <si>
    <t>NEID</t>
  </si>
  <si>
    <t>SiteName</t>
  </si>
  <si>
    <t>Cell</t>
  </si>
  <si>
    <t>BSC</t>
  </si>
  <si>
    <t>Sector</t>
  </si>
  <si>
    <t>Cell Type</t>
  </si>
  <si>
    <t>Band</t>
  </si>
  <si>
    <t>Height</t>
  </si>
  <si>
    <t>Dir</t>
  </si>
  <si>
    <t>M Tilt</t>
  </si>
  <si>
    <t>E Tilt</t>
  </si>
  <si>
    <t>Ant_Type</t>
  </si>
  <si>
    <t>Ant_BW</t>
  </si>
  <si>
    <t>Ant_size</t>
  </si>
  <si>
    <t>TG</t>
  </si>
  <si>
    <t>BCCH</t>
  </si>
  <si>
    <t>BSIC</t>
  </si>
  <si>
    <t>CI</t>
  </si>
  <si>
    <t>ERICSSON</t>
  </si>
  <si>
    <t>BTM412</t>
  </si>
  <si>
    <t>BTM412ID</t>
  </si>
  <si>
    <t>Matahari Nagoya</t>
  </si>
  <si>
    <t>BA0412I</t>
  </si>
  <si>
    <t>BVBTM2</t>
  </si>
  <si>
    <t>2 TRX</t>
  </si>
  <si>
    <t>RXOTG-534</t>
  </si>
  <si>
    <t>BCCH 775</t>
  </si>
  <si>
    <t>32</t>
  </si>
  <si>
    <t>BTM412IG</t>
  </si>
  <si>
    <t>BA0412O</t>
  </si>
  <si>
    <t>4 TRX</t>
  </si>
  <si>
    <t>RXSTG-1048</t>
  </si>
  <si>
    <t>BCCH 4</t>
  </si>
  <si>
    <t>51</t>
  </si>
  <si>
    <t>Reloc to BTM046</t>
  </si>
  <si>
    <t>BTM046MD1</t>
  </si>
  <si>
    <t>C_COJ096M41_PANBIL</t>
  </si>
  <si>
    <t>C_COJ096MT1_PANBIL_MT01;C_COJ096MT1_PANBIL_MT02;C_COJ096MT1_PANBIL_MT03</t>
  </si>
  <si>
    <t>Kawasan Industri PANBIL</t>
  </si>
  <si>
    <t>Alamat : Kawasan Industri PANBIL Kecamatan Muka Kuning Kotamadya Batam Propinsi Kepulauan Riau</t>
  </si>
  <si>
    <t>C_COJ096MG1_PANBIL_MG01;C_COJ096MG1_PANBIL_MG02;C_COJ096MG1_PANBIL_MG03</t>
  </si>
  <si>
    <t>EQP New NE GSM 1800 TRX 3/3/3</t>
  </si>
  <si>
    <t>Kepri</t>
  </si>
  <si>
    <t>DCS 1800</t>
  </si>
  <si>
    <t>COJ074MG</t>
  </si>
  <si>
    <t>Vico Andiang Suliki</t>
  </si>
  <si>
    <t>COJ074A</t>
  </si>
  <si>
    <t>BVPAY1</t>
  </si>
  <si>
    <t>3 TRX</t>
  </si>
  <si>
    <t>RXSTG-1866</t>
  </si>
  <si>
    <t>BCCH 8</t>
  </si>
  <si>
    <t>12</t>
  </si>
  <si>
    <t>COJ074B</t>
  </si>
  <si>
    <t>RXSTG-1867</t>
  </si>
  <si>
    <t>BCCH 7</t>
  </si>
  <si>
    <t>36</t>
  </si>
  <si>
    <t>COJ074C</t>
  </si>
  <si>
    <t>RXSTG-1868</t>
  </si>
  <si>
    <t>BCCH 2</t>
  </si>
  <si>
    <t>45</t>
  </si>
  <si>
    <t>VENDOR</t>
  </si>
  <si>
    <t>Site ID</t>
  </si>
  <si>
    <t>NE ID</t>
  </si>
  <si>
    <t>Site_Name</t>
  </si>
  <si>
    <t>EUtranCell</t>
  </si>
  <si>
    <t>Rsite</t>
  </si>
  <si>
    <t>Tower Height</t>
  </si>
  <si>
    <t xml:space="preserve">Antenna Height </t>
  </si>
  <si>
    <t>Mech_Tilt</t>
  </si>
  <si>
    <t>Elec_Tilt</t>
  </si>
  <si>
    <t>Antena Remark</t>
  </si>
  <si>
    <t>Antenna Port</t>
  </si>
  <si>
    <t>Cell_Type</t>
  </si>
  <si>
    <t>Ant Size</t>
  </si>
  <si>
    <t>cellId</t>
  </si>
  <si>
    <t>dlChannelBandwidth</t>
  </si>
  <si>
    <t>earfcndl</t>
  </si>
  <si>
    <t>configuredMaxTxPower</t>
  </si>
  <si>
    <t>eNBId</t>
  </si>
  <si>
    <t>Duplex Type</t>
  </si>
  <si>
    <t>IP</t>
  </si>
  <si>
    <t>TypeDU</t>
  </si>
  <si>
    <t>Type RRU</t>
  </si>
  <si>
    <t>OperationalState</t>
  </si>
  <si>
    <t>Freq Band</t>
  </si>
  <si>
    <t>Program</t>
  </si>
  <si>
    <t>Status</t>
  </si>
  <si>
    <t>Connected Date</t>
  </si>
  <si>
    <t>Total Payload (GB) - W50</t>
  </si>
  <si>
    <t>Availability - W50</t>
  </si>
  <si>
    <t>PRBDLUTIL MAX - W50</t>
  </si>
  <si>
    <t>Connected User - W50</t>
  </si>
  <si>
    <t>Active User - W50</t>
  </si>
  <si>
    <t>RCI W50</t>
  </si>
  <si>
    <t>Legend</t>
  </si>
  <si>
    <t>COJ074MT</t>
  </si>
  <si>
    <t>COJ074MT1_VICOANDIANGSUILIKIMT01</t>
  </si>
  <si>
    <t>N_COJ074MM1_VICOANDIANGSUILIKI</t>
  </si>
  <si>
    <t>RET</t>
  </si>
  <si>
    <t>MOBI_MB4BQMF651616DEINTSL</t>
  </si>
  <si>
    <t>10 Port</t>
  </si>
  <si>
    <t>10000</t>
  </si>
  <si>
    <t>1</t>
  </si>
  <si>
    <t>FDD</t>
  </si>
  <si>
    <t>10.150.49.193</t>
  </si>
  <si>
    <t>Baseband 663</t>
  </si>
  <si>
    <t>Radio 2219 B8</t>
  </si>
  <si>
    <t>ENABLED</t>
  </si>
  <si>
    <t>L900</t>
  </si>
  <si>
    <t>Settlement-1 New 222</t>
  </si>
  <si>
    <t>OA</t>
  </si>
  <si>
    <t>COJ074MT1_VICOANDIANGSUILIKIMT03</t>
  </si>
  <si>
    <t>3</t>
  </si>
  <si>
    <t>COJ074MT1_VICOANDIANGSUILIKIMT02</t>
  </si>
  <si>
    <t>22</t>
  </si>
  <si>
    <t>2</t>
  </si>
  <si>
    <t>PROGRAM</t>
  </si>
  <si>
    <t>Delete Database</t>
  </si>
  <si>
    <t>COJ096G</t>
  </si>
  <si>
    <t>N_COJ096MM2_COMBATGOLDENPRAWN</t>
  </si>
  <si>
    <t>60961,60962,60963</t>
  </si>
  <si>
    <t>COJ096G01,COJ096G02,COJ096G03</t>
  </si>
  <si>
    <t>Delete Database COJ096G</t>
  </si>
  <si>
    <t>RIAU</t>
  </si>
  <si>
    <t>BATAM</t>
  </si>
  <si>
    <t>batu ampar</t>
  </si>
  <si>
    <t xml:space="preserve">	sungai jodoh</t>
  </si>
  <si>
    <t xml:space="preserve">	restoran weiwei harbour bay jl. duyung kota batam</t>
  </si>
  <si>
    <t>Pekanbaru</t>
  </si>
  <si>
    <t>Plug In Existing MACRO</t>
  </si>
  <si>
    <t>4/4/4</t>
  </si>
  <si>
    <t>Plug In Existing</t>
  </si>
  <si>
    <t>0,160,240</t>
  </si>
  <si>
    <t>COJ096MR</t>
  </si>
  <si>
    <t>13,23,33</t>
  </si>
  <si>
    <t>COJ096MR1,COJ096MR2,COJ096MR3</t>
  </si>
  <si>
    <t>Delete Database COJ096MR</t>
  </si>
  <si>
    <t>348,349,350</t>
  </si>
  <si>
    <t>L2100</t>
  </si>
  <si>
    <t>MM2</t>
  </si>
  <si>
    <t>Combat Relocation COJ074 donor to Acceptor</t>
  </si>
  <si>
    <t>Combat Relocation COJ0096 donor to Acceptor</t>
  </si>
  <si>
    <t xml:space="preserve">Relocation site BTM412 to BTM046 </t>
  </si>
  <si>
    <t>-0.30490</t>
  </si>
  <si>
    <t>Silayang Tinggi Jorong VI Parik Panjang Nagari Lubuk Basung Kecamatan Lubuk Basung Kabupaten Agam Propinsi Sumatera Barat</t>
  </si>
  <si>
    <t>Kawasan Industri PANBIL Kecamatan Muka Kuning Kotamadya Batam Propinsi Kepulauan Riau</t>
  </si>
  <si>
    <t>Jl. Letjen R Suprato Tembesi Kec Sagulung Kota Batam Kepulau Riau</t>
  </si>
  <si>
    <t>6,7,8</t>
  </si>
  <si>
    <t>2,2,2</t>
  </si>
  <si>
    <t>30,40,50</t>
  </si>
  <si>
    <t>Sagulung</t>
  </si>
  <si>
    <t>Micro</t>
  </si>
  <si>
    <t>60741,60742,60743</t>
  </si>
  <si>
    <t>N-BTM046MD1-SP Plaza-Batu Aji_MD01;N-BTM046MD1-SP Plaza-Batu Aji_MD02;N-BTM046MD1-SP Plaza-Batu Aji_MD03</t>
  </si>
  <si>
    <t>BTM046IG1</t>
  </si>
  <si>
    <t>465.466.467</t>
  </si>
  <si>
    <t>N-BTM046IG1-SP Plaza-Batu Aji_IG01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</si>
</sst>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00000000000"/>
  </numFmts>
  <fonts count="17" x14ac:knownFonts="1">
    <font>
      <sz val="11"/>
      <color rgb="FF000000"/>
      <name val="Calibri"/>
    </font>
    <font>
      <sz val="10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color rgb="FF000000"/>
      <name val="Calibri"/>
      <family val="2"/>
    </font>
    <font>
      <sz val="11"/>
      <color rgb="FF000000"/>
      <name val="Tahoma"/>
      <family val="2"/>
    </font>
    <font>
      <b/>
      <sz val="11"/>
      <color rgb="FF000000"/>
      <name val="Calibri"/>
      <family val="2"/>
    </font>
    <font>
      <b/>
      <u/>
      <sz val="11"/>
      <color rgb="FF000000"/>
      <name val="Tahoma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22B32"/>
      <name val="Calibri"/>
      <family val="2"/>
      <scheme val="minor"/>
    </font>
    <font>
      <b/>
      <sz val="8"/>
      <color rgb="FF000000"/>
      <name val="Arial Nova Cond"/>
      <family val="2"/>
    </font>
    <font>
      <sz val="8"/>
      <color rgb="FF000000"/>
      <name val="Arial Nova Cond"/>
      <family val="2"/>
    </font>
    <font>
      <sz val="8"/>
      <color theme="1"/>
      <name val="Arial Nova Cond"/>
      <family val="2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FF7E79"/>
        <bgColor rgb="FFFFFFFF"/>
      </patternFill>
    </fill>
    <fill>
      <patternFill patternType="solid">
        <fgColor rgb="FFFFD579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E598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8" fillId="2" borderId="0" applyFill="0" applyProtection="0"/>
    <xf numFmtId="0" fontId="9" fillId="2" borderId="0"/>
    <xf numFmtId="0" fontId="10" fillId="2" borderId="0"/>
    <xf numFmtId="0" fontId="1" fillId="2" borderId="0"/>
    <xf numFmtId="0" fontId="9" fillId="2" borderId="0"/>
  </cellStyleXfs>
  <cellXfs count="70">
    <xf numFmtId="0" fontId="0" fillId="2" borderId="0" xfId="0" applyFill="1"/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/>
    <xf numFmtId="164" fontId="2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164" fontId="4" fillId="2" borderId="1" xfId="0" applyNumberFormat="1" applyFont="1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center"/>
    </xf>
    <xf numFmtId="0" fontId="6" fillId="2" borderId="8" xfId="0" applyFont="1" applyFill="1" applyBorder="1" applyAlignment="1">
      <alignment vertical="top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6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>
      <alignment horizontal="center" vertical="top"/>
    </xf>
    <xf numFmtId="0" fontId="11" fillId="2" borderId="9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left" vertical="center"/>
    </xf>
    <xf numFmtId="166" fontId="12" fillId="9" borderId="0" xfId="0" applyNumberFormat="1" applyFont="1" applyFill="1" applyAlignment="1">
      <alignment horizontal="left" vertical="center"/>
    </xf>
    <xf numFmtId="14" fontId="12" fillId="9" borderId="0" xfId="0" applyNumberFormat="1" applyFont="1" applyFill="1" applyAlignment="1">
      <alignment horizontal="left" vertical="center"/>
    </xf>
    <xf numFmtId="2" fontId="12" fillId="9" borderId="0" xfId="0" applyNumberFormat="1" applyFont="1" applyFill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2" fontId="12" fillId="0" borderId="0" xfId="0" applyNumberFormat="1" applyFont="1" applyAlignment="1">
      <alignment horizontal="left" vertical="center"/>
    </xf>
    <xf numFmtId="164" fontId="11" fillId="2" borderId="9" xfId="0" applyNumberFormat="1" applyFont="1" applyFill="1" applyBorder="1" applyAlignment="1">
      <alignment horizontal="left" vertical="center"/>
    </xf>
    <xf numFmtId="0" fontId="11" fillId="6" borderId="9" xfId="0" applyFont="1" applyFill="1" applyBorder="1" applyAlignment="1">
      <alignment horizontal="left" vertical="center"/>
    </xf>
    <xf numFmtId="0" fontId="11" fillId="7" borderId="9" xfId="0" applyFont="1" applyFill="1" applyBorder="1" applyAlignment="1">
      <alignment horizontal="left" vertical="center"/>
    </xf>
    <xf numFmtId="0" fontId="11" fillId="8" borderId="9" xfId="2" applyFont="1" applyFill="1" applyBorder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14" fontId="11" fillId="2" borderId="9" xfId="0" quotePrefix="1" applyNumberFormat="1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7" borderId="5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4" fillId="8" borderId="0" xfId="2" applyFont="1" applyFill="1" applyAlignment="1">
      <alignment horizontal="left" vertical="center"/>
    </xf>
    <xf numFmtId="0" fontId="14" fillId="2" borderId="9" xfId="0" applyFont="1" applyFill="1" applyBorder="1" applyAlignment="1">
      <alignment horizontal="left" vertical="center"/>
    </xf>
    <xf numFmtId="164" fontId="14" fillId="2" borderId="9" xfId="0" applyNumberFormat="1" applyFont="1" applyFill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6" borderId="9" xfId="0" applyFont="1" applyFill="1" applyBorder="1" applyAlignment="1">
      <alignment horizontal="left" vertical="center"/>
    </xf>
    <xf numFmtId="0" fontId="14" fillId="7" borderId="9" xfId="0" applyFont="1" applyFill="1" applyBorder="1" applyAlignment="1">
      <alignment horizontal="left" vertical="center"/>
    </xf>
    <xf numFmtId="0" fontId="14" fillId="8" borderId="9" xfId="2" applyFon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15" fillId="10" borderId="9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/>
    </xf>
    <xf numFmtId="165" fontId="15" fillId="0" borderId="9" xfId="0" quotePrefix="1" applyNumberFormat="1" applyFont="1" applyFill="1" applyBorder="1" applyAlignment="1">
      <alignment horizontal="left" vertical="center"/>
    </xf>
    <xf numFmtId="0" fontId="16" fillId="0" borderId="9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165" fontId="15" fillId="0" borderId="9" xfId="0" applyNumberFormat="1" applyFont="1" applyFill="1" applyBorder="1" applyAlignment="1">
      <alignment horizontal="left" vertical="center"/>
    </xf>
    <xf numFmtId="3" fontId="15" fillId="0" borderId="9" xfId="0" quotePrefix="1" applyNumberFormat="1" applyFont="1" applyFill="1" applyBorder="1" applyAlignment="1">
      <alignment horizontal="left" vertical="center"/>
    </xf>
  </cellXfs>
  <cellStyles count="6">
    <cellStyle name="Normal" xfId="0" builtinId="0"/>
    <cellStyle name="Normal 10" xfId="5" xr:uid="{00000000-0005-0000-0000-000001000000}"/>
    <cellStyle name="Normal 15" xfId="4" xr:uid="{00000000-0005-0000-0000-000002000000}"/>
    <cellStyle name="Normal 16" xfId="3" xr:uid="{00000000-0005-0000-0000-000003000000}"/>
    <cellStyle name="Normal 2" xfId="2" xr:uid="{00000000-0005-0000-0000-000004000000}"/>
    <cellStyle name="Normal 48" xfId="1" xr:uid="{00000000-0005-0000-0000-000005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FF66"/>
  </sheetPr>
  <dimension ref="A1:CB9"/>
  <sheetViews>
    <sheetView tabSelected="1" zoomScale="160" zoomScaleNormal="160" workbookViewId="0">
      <pane xSplit="6" ySplit="2" topLeftCell="AH3" activePane="bottomRight" state="frozen"/>
      <selection pane="topRight" activeCell="G1" sqref="G1"/>
      <selection pane="bottomLeft" activeCell="A3" sqref="A3"/>
      <selection pane="bottomRight" activeCell="D4" sqref="D4"/>
    </sheetView>
  </sheetViews>
  <sheetFormatPr defaultColWidth="8" defaultRowHeight="11.25" x14ac:dyDescent="0.25"/>
  <cols>
    <col min="1" max="1" width="9.140625" style="67" bestFit="1" customWidth="1"/>
    <col min="2" max="2" width="13.7109375" style="67" bestFit="1" customWidth="1"/>
    <col min="3" max="3" width="8" style="67" bestFit="1" customWidth="1"/>
    <col min="4" max="4" width="16.5703125" style="67" bestFit="1" customWidth="1"/>
    <col min="5" max="5" width="7.85546875" style="67" bestFit="1" customWidth="1"/>
    <col min="6" max="6" width="9.7109375" style="67" bestFit="1" customWidth="1"/>
    <col min="7" max="7" width="30.42578125" style="67" bestFit="1" customWidth="1"/>
    <col min="8" max="8" width="29.140625" style="67" bestFit="1" customWidth="1"/>
    <col min="9" max="9" width="15.7109375" style="67" bestFit="1" customWidth="1"/>
    <col min="10" max="10" width="102.7109375" style="67" bestFit="1" customWidth="1"/>
    <col min="11" max="11" width="26.28515625" style="67" bestFit="1" customWidth="1"/>
    <col min="12" max="12" width="10.140625" style="67" bestFit="1" customWidth="1"/>
    <col min="13" max="13" width="8.7109375" style="67" bestFit="1" customWidth="1"/>
    <col min="14" max="14" width="9.140625" style="67" bestFit="1" customWidth="1"/>
    <col min="15" max="15" width="12.5703125" style="67" bestFit="1" customWidth="1"/>
    <col min="16" max="16" width="14.7109375" style="67" bestFit="1" customWidth="1"/>
    <col min="17" max="17" width="41" style="67" bestFit="1" customWidth="1"/>
    <col min="18" max="18" width="92.5703125" style="67" bestFit="1" customWidth="1"/>
    <col min="19" max="19" width="8.28515625" style="67" bestFit="1" customWidth="1"/>
    <col min="20" max="20" width="9.28515625" style="67" bestFit="1" customWidth="1"/>
    <col min="21" max="21" width="12.140625" style="67" bestFit="1" customWidth="1"/>
    <col min="22" max="22" width="7.85546875" style="67" bestFit="1" customWidth="1"/>
    <col min="23" max="23" width="11" style="67" bestFit="1" customWidth="1"/>
    <col min="24" max="24" width="10.42578125" style="67" bestFit="1" customWidth="1"/>
    <col min="25" max="25" width="8.85546875" style="67" bestFit="1" customWidth="1"/>
    <col min="26" max="26" width="9.5703125" style="67" bestFit="1" customWidth="1"/>
    <col min="27" max="27" width="8.5703125" style="67" bestFit="1" customWidth="1"/>
    <col min="28" max="28" width="144.85546875" style="67" bestFit="1" customWidth="1"/>
    <col min="29" max="29" width="13.5703125" style="67" bestFit="1" customWidth="1"/>
    <col min="30" max="30" width="9.5703125" style="67" bestFit="1" customWidth="1"/>
    <col min="31" max="31" width="12.28515625" style="67" bestFit="1" customWidth="1"/>
    <col min="32" max="32" width="11.85546875" style="67" bestFit="1" customWidth="1"/>
    <col min="33" max="33" width="13.5703125" style="67" bestFit="1" customWidth="1"/>
    <col min="34" max="34" width="5.85546875" style="67" bestFit="1" customWidth="1"/>
    <col min="35" max="35" width="13.28515625" style="67" bestFit="1" customWidth="1"/>
    <col min="36" max="36" width="8.85546875" style="67" bestFit="1" customWidth="1"/>
    <col min="37" max="37" width="6" style="67" bestFit="1" customWidth="1"/>
    <col min="38" max="38" width="8" style="67" bestFit="1" customWidth="1"/>
    <col min="39" max="39" width="9.28515625" style="67" bestFit="1" customWidth="1"/>
    <col min="40" max="40" width="9" style="67" bestFit="1" customWidth="1"/>
    <col min="41" max="41" width="10.42578125" style="67" bestFit="1" customWidth="1"/>
    <col min="42" max="42" width="6.28515625" style="67" bestFit="1" customWidth="1"/>
    <col min="43" max="43" width="10.42578125" style="67" bestFit="1" customWidth="1"/>
    <col min="44" max="44" width="5.85546875" style="67" bestFit="1" customWidth="1"/>
    <col min="45" max="45" width="10.28515625" style="67" bestFit="1" customWidth="1"/>
    <col min="46" max="46" width="5.85546875" style="67" bestFit="1" customWidth="1"/>
    <col min="47" max="47" width="6" style="67" bestFit="1" customWidth="1"/>
    <col min="48" max="48" width="8" style="67" bestFit="1" customWidth="1"/>
    <col min="49" max="49" width="5.85546875" style="67" bestFit="1" customWidth="1"/>
    <col min="50" max="50" width="5" style="67" bestFit="1" customWidth="1"/>
    <col min="51" max="51" width="9" style="67" bestFit="1" customWidth="1"/>
    <col min="52" max="52" width="10.42578125" style="67" bestFit="1" customWidth="1"/>
    <col min="53" max="53" width="6.28515625" style="67" bestFit="1" customWidth="1"/>
    <col min="54" max="54" width="9.28515625" style="67" bestFit="1" customWidth="1"/>
    <col min="55" max="55" width="6.85546875" style="67" bestFit="1" customWidth="1"/>
    <col min="56" max="56" width="4.7109375" style="67" bestFit="1" customWidth="1"/>
    <col min="57" max="57" width="6.28515625" style="67" bestFit="1" customWidth="1"/>
    <col min="58" max="58" width="6.42578125" style="67" bestFit="1" customWidth="1"/>
    <col min="59" max="59" width="10.42578125" style="67" bestFit="1" customWidth="1"/>
    <col min="60" max="60" width="13.28515625" style="67" bestFit="1" customWidth="1"/>
    <col min="61" max="62" width="5.85546875" style="67" bestFit="1" customWidth="1"/>
    <col min="63" max="63" width="5.42578125" style="67" bestFit="1" customWidth="1"/>
    <col min="64" max="64" width="7.42578125" style="67" bestFit="1" customWidth="1"/>
    <col min="65" max="65" width="7.85546875" style="67" bestFit="1" customWidth="1"/>
    <col min="66" max="66" width="7.42578125" style="67" bestFit="1" customWidth="1"/>
    <col min="67" max="67" width="13.5703125" style="67" bestFit="1" customWidth="1"/>
    <col min="68" max="68" width="16.140625" style="67" bestFit="1" customWidth="1"/>
    <col min="69" max="69" width="21.140625" style="67" bestFit="1" customWidth="1"/>
    <col min="70" max="70" width="14.140625" style="67" bestFit="1" customWidth="1"/>
    <col min="71" max="72" width="11" style="67" bestFit="1" customWidth="1"/>
    <col min="73" max="73" width="7.7109375" style="67" bestFit="1" customWidth="1"/>
    <col min="74" max="75" width="15.85546875" style="67" bestFit="1" customWidth="1"/>
    <col min="76" max="76" width="6.28515625" style="67" bestFit="1" customWidth="1"/>
    <col min="77" max="77" width="6.42578125" style="67" bestFit="1" customWidth="1"/>
    <col min="78" max="78" width="8.7109375" style="67" customWidth="1"/>
    <col min="79" max="79" width="32.28515625" style="67" bestFit="1" customWidth="1"/>
    <col min="80" max="80" width="30" style="67" bestFit="1" customWidth="1"/>
    <col min="81" max="81" width="15.42578125" style="67" bestFit="1" customWidth="1"/>
    <col min="82" max="16384" width="8" style="67"/>
  </cols>
  <sheetData>
    <row r="1" spans="1:80" s="47" customFormat="1" x14ac:dyDescent="0.25">
      <c r="S1" s="48"/>
      <c r="AH1" s="49" t="s">
        <v>0</v>
      </c>
      <c r="AI1" s="50"/>
      <c r="AJ1" s="50"/>
      <c r="AK1" s="50"/>
      <c r="AL1" s="50"/>
      <c r="AM1" s="50"/>
      <c r="AN1" s="50"/>
      <c r="AO1" s="50"/>
      <c r="AP1" s="51"/>
      <c r="AQ1" s="52"/>
      <c r="AR1" s="53" t="s">
        <v>1</v>
      </c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5" t="s">
        <v>2</v>
      </c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</row>
    <row r="2" spans="1:80" s="47" customFormat="1" x14ac:dyDescent="0.25">
      <c r="A2" s="56" t="s">
        <v>3</v>
      </c>
      <c r="B2" s="56" t="s">
        <v>4</v>
      </c>
      <c r="C2" s="56" t="s">
        <v>5</v>
      </c>
      <c r="D2" s="56" t="s">
        <v>6</v>
      </c>
      <c r="E2" s="56" t="s">
        <v>7</v>
      </c>
      <c r="F2" s="56" t="s">
        <v>8</v>
      </c>
      <c r="G2" s="56" t="s">
        <v>9</v>
      </c>
      <c r="H2" s="56" t="s">
        <v>10</v>
      </c>
      <c r="I2" s="56" t="s">
        <v>11</v>
      </c>
      <c r="J2" s="56" t="s">
        <v>12</v>
      </c>
      <c r="K2" s="56" t="s">
        <v>13</v>
      </c>
      <c r="L2" s="57" t="s">
        <v>14</v>
      </c>
      <c r="M2" s="57" t="s">
        <v>15</v>
      </c>
      <c r="N2" s="57" t="s">
        <v>16</v>
      </c>
      <c r="O2" s="56" t="s">
        <v>17</v>
      </c>
      <c r="P2" s="56" t="s">
        <v>18</v>
      </c>
      <c r="Q2" s="56" t="s">
        <v>19</v>
      </c>
      <c r="R2" s="56" t="s">
        <v>20</v>
      </c>
      <c r="S2" s="58" t="s">
        <v>21</v>
      </c>
      <c r="T2" s="56" t="s">
        <v>22</v>
      </c>
      <c r="U2" s="56" t="s">
        <v>23</v>
      </c>
      <c r="V2" s="56" t="s">
        <v>24</v>
      </c>
      <c r="W2" s="56" t="s">
        <v>25</v>
      </c>
      <c r="X2" s="56" t="s">
        <v>26</v>
      </c>
      <c r="Y2" s="56" t="s">
        <v>27</v>
      </c>
      <c r="Z2" s="56" t="s">
        <v>28</v>
      </c>
      <c r="AA2" s="56" t="s">
        <v>29</v>
      </c>
      <c r="AB2" s="56" t="s">
        <v>30</v>
      </c>
      <c r="AC2" s="56" t="s">
        <v>31</v>
      </c>
      <c r="AD2" s="56" t="s">
        <v>32</v>
      </c>
      <c r="AE2" s="56" t="s">
        <v>33</v>
      </c>
      <c r="AF2" s="56" t="s">
        <v>34</v>
      </c>
      <c r="AG2" s="56" t="s">
        <v>35</v>
      </c>
      <c r="AH2" s="59" t="s">
        <v>36</v>
      </c>
      <c r="AI2" s="59" t="s">
        <v>37</v>
      </c>
      <c r="AJ2" s="59" t="s">
        <v>38</v>
      </c>
      <c r="AK2" s="59" t="s">
        <v>39</v>
      </c>
      <c r="AL2" s="59" t="s">
        <v>40</v>
      </c>
      <c r="AM2" s="59" t="s">
        <v>41</v>
      </c>
      <c r="AN2" s="59" t="s">
        <v>42</v>
      </c>
      <c r="AO2" s="59" t="s">
        <v>43</v>
      </c>
      <c r="AP2" s="59" t="s">
        <v>44</v>
      </c>
      <c r="AQ2" s="59" t="s">
        <v>53</v>
      </c>
      <c r="AR2" s="60" t="s">
        <v>36</v>
      </c>
      <c r="AS2" s="60" t="s">
        <v>45</v>
      </c>
      <c r="AT2" s="60" t="s">
        <v>46</v>
      </c>
      <c r="AU2" s="60" t="s">
        <v>39</v>
      </c>
      <c r="AV2" s="60" t="s">
        <v>40</v>
      </c>
      <c r="AW2" s="60" t="s">
        <v>47</v>
      </c>
      <c r="AX2" s="60" t="s">
        <v>48</v>
      </c>
      <c r="AY2" s="60" t="s">
        <v>42</v>
      </c>
      <c r="AZ2" s="60" t="s">
        <v>43</v>
      </c>
      <c r="BA2" s="60" t="s">
        <v>44</v>
      </c>
      <c r="BB2" s="60" t="s">
        <v>41</v>
      </c>
      <c r="BC2" s="60" t="s">
        <v>49</v>
      </c>
      <c r="BD2" s="60" t="s">
        <v>50</v>
      </c>
      <c r="BE2" s="60" t="s">
        <v>51</v>
      </c>
      <c r="BF2" s="60" t="s">
        <v>52</v>
      </c>
      <c r="BG2" s="60" t="s">
        <v>53</v>
      </c>
      <c r="BH2" s="60" t="s">
        <v>54</v>
      </c>
      <c r="BI2" s="61" t="s">
        <v>55</v>
      </c>
      <c r="BJ2" s="61" t="s">
        <v>56</v>
      </c>
      <c r="BK2" s="61" t="s">
        <v>57</v>
      </c>
      <c r="BL2" s="61" t="s">
        <v>58</v>
      </c>
      <c r="BM2" s="61" t="s">
        <v>59</v>
      </c>
      <c r="BN2" s="61" t="s">
        <v>60</v>
      </c>
      <c r="BO2" s="61" t="s">
        <v>61</v>
      </c>
      <c r="BP2" s="61" t="s">
        <v>62</v>
      </c>
      <c r="BQ2" s="61" t="s">
        <v>63</v>
      </c>
      <c r="BR2" s="61" t="s">
        <v>64</v>
      </c>
      <c r="BS2" s="61" t="s">
        <v>65</v>
      </c>
      <c r="BT2" s="61" t="s">
        <v>66</v>
      </c>
      <c r="BU2" s="61" t="s">
        <v>67</v>
      </c>
      <c r="BV2" s="61" t="s">
        <v>68</v>
      </c>
      <c r="BW2" s="61" t="s">
        <v>69</v>
      </c>
      <c r="BX2" s="61" t="s">
        <v>51</v>
      </c>
      <c r="BY2" s="61" t="s">
        <v>52</v>
      </c>
      <c r="CA2" s="62" t="s">
        <v>361</v>
      </c>
      <c r="CB2" s="62"/>
    </row>
    <row r="3" spans="1:80" x14ac:dyDescent="0.25">
      <c r="A3" s="64"/>
      <c r="B3" s="64" t="s">
        <v>362</v>
      </c>
      <c r="C3" s="64" t="s">
        <v>339</v>
      </c>
      <c r="D3" s="63" t="s">
        <v>243</v>
      </c>
      <c r="E3" s="64" t="s">
        <v>381</v>
      </c>
      <c r="F3" s="64" t="s">
        <v>379</v>
      </c>
      <c r="G3" s="64" t="s">
        <v>382</v>
      </c>
      <c r="H3" s="64" t="s">
        <v>384</v>
      </c>
      <c r="I3" s="64" t="s">
        <v>388</v>
      </c>
      <c r="J3" s="64" t="s">
        <v>386</v>
      </c>
      <c r="K3" s="64" t="s">
        <v>364</v>
      </c>
      <c r="L3" s="65" t="s">
        <v>393</v>
      </c>
      <c r="M3" s="65" t="s">
        <v>569</v>
      </c>
      <c r="N3" s="64" t="s">
        <v>365</v>
      </c>
      <c r="O3" s="64" t="s">
        <v>403</v>
      </c>
      <c r="P3" s="64" t="s">
        <v>404</v>
      </c>
      <c r="Q3" s="64" t="s">
        <v>405</v>
      </c>
      <c r="R3" s="64" t="s">
        <v>570</v>
      </c>
      <c r="S3" s="64" t="s">
        <v>366</v>
      </c>
      <c r="T3" s="64" t="s">
        <v>360</v>
      </c>
      <c r="U3" s="64" t="s">
        <v>359</v>
      </c>
      <c r="V3" s="64" t="s">
        <v>371</v>
      </c>
      <c r="W3" s="64" t="s">
        <v>392</v>
      </c>
      <c r="X3" s="64" t="s">
        <v>88</v>
      </c>
      <c r="Y3" s="64" t="s">
        <v>89</v>
      </c>
      <c r="Z3" s="64" t="s">
        <v>367</v>
      </c>
      <c r="AA3" s="64" t="s">
        <v>368</v>
      </c>
      <c r="AB3" s="64" t="s">
        <v>389</v>
      </c>
      <c r="AC3" s="64" t="s">
        <v>390</v>
      </c>
      <c r="AD3" s="64" t="s">
        <v>397</v>
      </c>
      <c r="AE3" s="64" t="s">
        <v>369</v>
      </c>
      <c r="AF3" s="64" t="s">
        <v>94</v>
      </c>
      <c r="AG3" s="64" t="s">
        <v>363</v>
      </c>
      <c r="AH3" s="64" t="s">
        <v>358</v>
      </c>
      <c r="AI3" s="64" t="s">
        <v>358</v>
      </c>
      <c r="AJ3" s="64" t="s">
        <v>358</v>
      </c>
      <c r="AK3" s="64" t="s">
        <v>358</v>
      </c>
      <c r="AL3" s="64" t="s">
        <v>358</v>
      </c>
      <c r="AM3" s="64" t="s">
        <v>358</v>
      </c>
      <c r="AN3" s="64" t="s">
        <v>358</v>
      </c>
      <c r="AO3" s="64" t="s">
        <v>358</v>
      </c>
      <c r="AP3" s="64" t="s">
        <v>358</v>
      </c>
      <c r="AQ3" s="64" t="s">
        <v>358</v>
      </c>
      <c r="AR3" s="64" t="s">
        <v>358</v>
      </c>
      <c r="AS3" s="64" t="s">
        <v>358</v>
      </c>
      <c r="AT3" s="64" t="s">
        <v>358</v>
      </c>
      <c r="AU3" s="64" t="s">
        <v>358</v>
      </c>
      <c r="AV3" s="64" t="s">
        <v>358</v>
      </c>
      <c r="AW3" s="64" t="s">
        <v>358</v>
      </c>
      <c r="AX3" s="64" t="s">
        <v>358</v>
      </c>
      <c r="AY3" s="64" t="s">
        <v>358</v>
      </c>
      <c r="AZ3" s="64" t="s">
        <v>358</v>
      </c>
      <c r="BA3" s="64" t="s">
        <v>358</v>
      </c>
      <c r="BB3" s="64" t="s">
        <v>358</v>
      </c>
      <c r="BC3" s="64" t="s">
        <v>358</v>
      </c>
      <c r="BD3" s="64" t="s">
        <v>358</v>
      </c>
      <c r="BE3" s="64" t="s">
        <v>358</v>
      </c>
      <c r="BF3" s="64" t="s">
        <v>358</v>
      </c>
      <c r="BG3" s="64" t="s">
        <v>358</v>
      </c>
      <c r="BH3" s="64" t="s">
        <v>358</v>
      </c>
      <c r="BI3" s="64" t="s">
        <v>358</v>
      </c>
      <c r="BJ3" s="64">
        <v>11544</v>
      </c>
      <c r="BK3" s="64" t="s">
        <v>573</v>
      </c>
      <c r="BL3" s="64" t="s">
        <v>574</v>
      </c>
      <c r="BM3" s="64" t="s">
        <v>575</v>
      </c>
      <c r="BN3" s="64" t="s">
        <v>358</v>
      </c>
      <c r="BO3" s="66">
        <v>10000</v>
      </c>
      <c r="BP3" s="64">
        <v>509074</v>
      </c>
      <c r="BQ3" s="64" t="str">
        <f>DEC2HEX(BP3)</f>
        <v>7C492</v>
      </c>
      <c r="BR3" s="64">
        <v>8</v>
      </c>
      <c r="BS3" s="64">
        <v>3500</v>
      </c>
      <c r="BT3" s="64">
        <v>21500</v>
      </c>
      <c r="BU3" s="64" t="s">
        <v>374</v>
      </c>
      <c r="BV3" s="64" t="s">
        <v>375</v>
      </c>
      <c r="BW3" s="64" t="s">
        <v>376</v>
      </c>
      <c r="BX3" s="64" t="s">
        <v>416</v>
      </c>
      <c r="BY3" s="64" t="s">
        <v>417</v>
      </c>
      <c r="CA3" s="67" t="s">
        <v>566</v>
      </c>
    </row>
    <row r="4" spans="1:80" x14ac:dyDescent="0.25">
      <c r="A4" s="64"/>
      <c r="B4" s="64" t="s">
        <v>362</v>
      </c>
      <c r="C4" s="64" t="s">
        <v>339</v>
      </c>
      <c r="D4" s="64" t="s">
        <v>0</v>
      </c>
      <c r="E4" s="64" t="s">
        <v>381</v>
      </c>
      <c r="F4" s="64" t="s">
        <v>380</v>
      </c>
      <c r="G4" s="64" t="s">
        <v>383</v>
      </c>
      <c r="H4" s="64" t="s">
        <v>385</v>
      </c>
      <c r="I4" s="69" t="s">
        <v>578</v>
      </c>
      <c r="J4" s="64" t="s">
        <v>387</v>
      </c>
      <c r="K4" s="64" t="s">
        <v>372</v>
      </c>
      <c r="L4" s="65" t="s">
        <v>393</v>
      </c>
      <c r="M4" s="65" t="s">
        <v>569</v>
      </c>
      <c r="N4" s="64" t="s">
        <v>365</v>
      </c>
      <c r="O4" s="64" t="s">
        <v>403</v>
      </c>
      <c r="P4" s="64" t="s">
        <v>404</v>
      </c>
      <c r="Q4" s="64" t="s">
        <v>405</v>
      </c>
      <c r="R4" s="64" t="s">
        <v>391</v>
      </c>
      <c r="S4" s="64" t="s">
        <v>366</v>
      </c>
      <c r="T4" s="64" t="s">
        <v>360</v>
      </c>
      <c r="U4" s="64" t="s">
        <v>359</v>
      </c>
      <c r="V4" s="64" t="s">
        <v>371</v>
      </c>
      <c r="W4" s="64" t="s">
        <v>392</v>
      </c>
      <c r="X4" s="64" t="s">
        <v>88</v>
      </c>
      <c r="Y4" s="64" t="s">
        <v>89</v>
      </c>
      <c r="Z4" s="64" t="s">
        <v>367</v>
      </c>
      <c r="AA4" s="64" t="s">
        <v>370</v>
      </c>
      <c r="AB4" s="64" t="s">
        <v>389</v>
      </c>
      <c r="AC4" s="64" t="s">
        <v>390</v>
      </c>
      <c r="AD4" s="64" t="s">
        <v>397</v>
      </c>
      <c r="AE4" s="64" t="s">
        <v>369</v>
      </c>
      <c r="AF4" s="64" t="s">
        <v>94</v>
      </c>
      <c r="AG4" s="64" t="s">
        <v>363</v>
      </c>
      <c r="AH4" s="64">
        <v>11544</v>
      </c>
      <c r="AI4" s="64" t="s">
        <v>422</v>
      </c>
      <c r="AJ4" s="64" t="s">
        <v>358</v>
      </c>
      <c r="AK4" s="64" t="s">
        <v>358</v>
      </c>
      <c r="AL4" s="64" t="s">
        <v>358</v>
      </c>
      <c r="AM4" s="64" t="s">
        <v>358</v>
      </c>
      <c r="AN4" s="64" t="s">
        <v>358</v>
      </c>
      <c r="AO4" s="64" t="s">
        <v>378</v>
      </c>
      <c r="AP4" s="64" t="s">
        <v>373</v>
      </c>
      <c r="AQ4" s="64" t="s">
        <v>377</v>
      </c>
      <c r="AR4" s="64" t="s">
        <v>358</v>
      </c>
      <c r="AS4" s="64" t="s">
        <v>358</v>
      </c>
      <c r="AT4" s="64" t="s">
        <v>358</v>
      </c>
      <c r="AU4" s="64" t="s">
        <v>358</v>
      </c>
      <c r="AV4" s="64" t="s">
        <v>358</v>
      </c>
      <c r="AW4" s="64" t="s">
        <v>358</v>
      </c>
      <c r="AX4" s="64" t="s">
        <v>358</v>
      </c>
      <c r="AY4" s="64" t="s">
        <v>358</v>
      </c>
      <c r="AZ4" s="64" t="s">
        <v>358</v>
      </c>
      <c r="BA4" s="64" t="s">
        <v>358</v>
      </c>
      <c r="BB4" s="64" t="s">
        <v>358</v>
      </c>
      <c r="BC4" s="64" t="s">
        <v>358</v>
      </c>
      <c r="BD4" s="64" t="s">
        <v>358</v>
      </c>
      <c r="BE4" s="64" t="s">
        <v>358</v>
      </c>
      <c r="BF4" s="64" t="s">
        <v>358</v>
      </c>
      <c r="BG4" s="64" t="s">
        <v>358</v>
      </c>
      <c r="BH4" s="64" t="s">
        <v>358</v>
      </c>
      <c r="BI4" s="64" t="s">
        <v>358</v>
      </c>
      <c r="BJ4" s="64" t="s">
        <v>358</v>
      </c>
      <c r="BK4" s="64" t="s">
        <v>358</v>
      </c>
      <c r="BL4" s="64" t="s">
        <v>358</v>
      </c>
      <c r="BM4" s="64" t="s">
        <v>358</v>
      </c>
      <c r="BN4" s="64" t="s">
        <v>358</v>
      </c>
      <c r="BO4" s="64" t="s">
        <v>358</v>
      </c>
      <c r="BP4" s="64" t="s">
        <v>358</v>
      </c>
      <c r="BQ4" s="64" t="s">
        <v>358</v>
      </c>
      <c r="BR4" s="64" t="s">
        <v>358</v>
      </c>
      <c r="BS4" s="64" t="s">
        <v>358</v>
      </c>
      <c r="BT4" s="64" t="s">
        <v>358</v>
      </c>
      <c r="BU4" s="64" t="s">
        <v>358</v>
      </c>
      <c r="BV4" s="64" t="s">
        <v>358</v>
      </c>
      <c r="BW4" s="64" t="s">
        <v>358</v>
      </c>
      <c r="BX4" s="64" t="s">
        <v>358</v>
      </c>
      <c r="BY4" s="64" t="s">
        <v>358</v>
      </c>
      <c r="CA4" s="67" t="s">
        <v>566</v>
      </c>
    </row>
    <row r="5" spans="1:80" x14ac:dyDescent="0.25">
      <c r="A5" s="64"/>
      <c r="B5" s="64" t="s">
        <v>362</v>
      </c>
      <c r="C5" s="64" t="s">
        <v>339</v>
      </c>
      <c r="D5" s="63" t="s">
        <v>243</v>
      </c>
      <c r="E5" s="64" t="s">
        <v>394</v>
      </c>
      <c r="F5" s="64" t="s">
        <v>395</v>
      </c>
      <c r="G5" s="64" t="s">
        <v>462</v>
      </c>
      <c r="H5" s="64" t="s">
        <v>462</v>
      </c>
      <c r="I5" s="64" t="s">
        <v>388</v>
      </c>
      <c r="J5" s="64" t="s">
        <v>463</v>
      </c>
      <c r="K5" s="64" t="s">
        <v>364</v>
      </c>
      <c r="L5" s="65" t="s">
        <v>402</v>
      </c>
      <c r="M5" s="65" t="s">
        <v>401</v>
      </c>
      <c r="N5" s="64" t="s">
        <v>468</v>
      </c>
      <c r="O5" s="64" t="s">
        <v>400</v>
      </c>
      <c r="P5" s="64" t="s">
        <v>399</v>
      </c>
      <c r="Q5" s="64" t="s">
        <v>464</v>
      </c>
      <c r="R5" s="64" t="s">
        <v>571</v>
      </c>
      <c r="S5" s="64" t="s">
        <v>366</v>
      </c>
      <c r="T5" s="64" t="s">
        <v>360</v>
      </c>
      <c r="U5" s="64" t="s">
        <v>359</v>
      </c>
      <c r="V5" s="64" t="s">
        <v>407</v>
      </c>
      <c r="W5" s="64" t="s">
        <v>408</v>
      </c>
      <c r="X5" s="64" t="s">
        <v>88</v>
      </c>
      <c r="Y5" s="64" t="s">
        <v>89</v>
      </c>
      <c r="Z5" s="64" t="s">
        <v>367</v>
      </c>
      <c r="AA5" s="64" t="s">
        <v>368</v>
      </c>
      <c r="AB5" s="64" t="s">
        <v>406</v>
      </c>
      <c r="AC5" s="64" t="s">
        <v>390</v>
      </c>
      <c r="AD5" s="64" t="s">
        <v>398</v>
      </c>
      <c r="AE5" s="64" t="s">
        <v>369</v>
      </c>
      <c r="AF5" s="64" t="s">
        <v>94</v>
      </c>
      <c r="AG5" s="64" t="s">
        <v>363</v>
      </c>
      <c r="AH5" s="64" t="s">
        <v>358</v>
      </c>
      <c r="AI5" s="64" t="s">
        <v>358</v>
      </c>
      <c r="AJ5" s="64" t="s">
        <v>358</v>
      </c>
      <c r="AK5" s="64" t="s">
        <v>358</v>
      </c>
      <c r="AL5" s="64" t="s">
        <v>358</v>
      </c>
      <c r="AM5" s="64" t="s">
        <v>358</v>
      </c>
      <c r="AN5" s="64" t="s">
        <v>358</v>
      </c>
      <c r="AO5" s="64" t="s">
        <v>358</v>
      </c>
      <c r="AP5" s="64" t="s">
        <v>358</v>
      </c>
      <c r="AQ5" s="64" t="s">
        <v>358</v>
      </c>
      <c r="AR5" s="64" t="s">
        <v>358</v>
      </c>
      <c r="AS5" s="64" t="s">
        <v>358</v>
      </c>
      <c r="AT5" s="64" t="s">
        <v>358</v>
      </c>
      <c r="AU5" s="64" t="s">
        <v>358</v>
      </c>
      <c r="AV5" s="64" t="s">
        <v>358</v>
      </c>
      <c r="AW5" s="64" t="s">
        <v>358</v>
      </c>
      <c r="AX5" s="64" t="s">
        <v>358</v>
      </c>
      <c r="AY5" s="64" t="s">
        <v>358</v>
      </c>
      <c r="AZ5" s="64" t="s">
        <v>358</v>
      </c>
      <c r="BA5" s="64" t="s">
        <v>358</v>
      </c>
      <c r="BB5" s="64" t="s">
        <v>358</v>
      </c>
      <c r="BC5" s="64" t="s">
        <v>358</v>
      </c>
      <c r="BD5" s="64" t="s">
        <v>358</v>
      </c>
      <c r="BE5" s="64" t="s">
        <v>358</v>
      </c>
      <c r="BF5" s="64" t="s">
        <v>358</v>
      </c>
      <c r="BG5" s="64" t="s">
        <v>358</v>
      </c>
      <c r="BH5" s="64" t="s">
        <v>358</v>
      </c>
      <c r="BI5" s="64" t="s">
        <v>358</v>
      </c>
      <c r="BJ5" s="64">
        <v>11926</v>
      </c>
      <c r="BK5" s="64" t="s">
        <v>573</v>
      </c>
      <c r="BL5" s="64" t="s">
        <v>574</v>
      </c>
      <c r="BM5" s="64" t="s">
        <v>575</v>
      </c>
      <c r="BN5" s="64" t="s">
        <v>358</v>
      </c>
      <c r="BO5" s="66">
        <v>10000</v>
      </c>
      <c r="BP5" s="64">
        <v>509096</v>
      </c>
      <c r="BQ5" s="64" t="str">
        <f>DEC2HEX(BP5)</f>
        <v>7C4A8</v>
      </c>
      <c r="BR5" s="64">
        <v>8</v>
      </c>
      <c r="BS5" s="64">
        <v>3500</v>
      </c>
      <c r="BT5" s="64">
        <v>21500</v>
      </c>
      <c r="BU5" s="64" t="s">
        <v>374</v>
      </c>
      <c r="BV5" s="64" t="s">
        <v>375</v>
      </c>
      <c r="BW5" s="64" t="s">
        <v>376</v>
      </c>
      <c r="BX5" s="64" t="s">
        <v>416</v>
      </c>
      <c r="BY5" s="64" t="s">
        <v>417</v>
      </c>
      <c r="CA5" s="67" t="s">
        <v>567</v>
      </c>
    </row>
    <row r="6" spans="1:80" x14ac:dyDescent="0.25">
      <c r="A6" s="64"/>
      <c r="B6" s="64" t="s">
        <v>362</v>
      </c>
      <c r="C6" s="64" t="s">
        <v>339</v>
      </c>
      <c r="D6" s="64" t="s">
        <v>0</v>
      </c>
      <c r="E6" s="64" t="s">
        <v>394</v>
      </c>
      <c r="F6" s="64" t="s">
        <v>396</v>
      </c>
      <c r="G6" s="64" t="s">
        <v>462</v>
      </c>
      <c r="H6" s="64" t="s">
        <v>462</v>
      </c>
      <c r="I6" s="69" t="s">
        <v>546</v>
      </c>
      <c r="J6" s="64" t="s">
        <v>466</v>
      </c>
      <c r="K6" s="64" t="s">
        <v>372</v>
      </c>
      <c r="L6" s="65" t="s">
        <v>402</v>
      </c>
      <c r="M6" s="65" t="s">
        <v>401</v>
      </c>
      <c r="N6" s="64" t="s">
        <v>468</v>
      </c>
      <c r="O6" s="64" t="s">
        <v>400</v>
      </c>
      <c r="P6" s="64" t="s">
        <v>399</v>
      </c>
      <c r="Q6" s="64" t="s">
        <v>464</v>
      </c>
      <c r="R6" s="64" t="s">
        <v>465</v>
      </c>
      <c r="S6" s="64" t="s">
        <v>366</v>
      </c>
      <c r="T6" s="64" t="s">
        <v>360</v>
      </c>
      <c r="U6" s="64" t="s">
        <v>359</v>
      </c>
      <c r="V6" s="64" t="s">
        <v>407</v>
      </c>
      <c r="W6" s="64" t="s">
        <v>408</v>
      </c>
      <c r="X6" s="64" t="s">
        <v>88</v>
      </c>
      <c r="Y6" s="64" t="s">
        <v>89</v>
      </c>
      <c r="Z6" s="64" t="s">
        <v>367</v>
      </c>
      <c r="AA6" s="64" t="s">
        <v>370</v>
      </c>
      <c r="AB6" s="64" t="s">
        <v>406</v>
      </c>
      <c r="AC6" s="64" t="s">
        <v>390</v>
      </c>
      <c r="AD6" s="64" t="s">
        <v>398</v>
      </c>
      <c r="AE6" s="64" t="s">
        <v>369</v>
      </c>
      <c r="AF6" s="64" t="s">
        <v>94</v>
      </c>
      <c r="AG6" s="64" t="s">
        <v>363</v>
      </c>
      <c r="AH6" s="64">
        <v>11926</v>
      </c>
      <c r="AI6" s="64" t="s">
        <v>423</v>
      </c>
      <c r="AJ6" s="64" t="s">
        <v>358</v>
      </c>
      <c r="AK6" s="64" t="s">
        <v>358</v>
      </c>
      <c r="AL6" s="64" t="s">
        <v>358</v>
      </c>
      <c r="AM6" s="64" t="s">
        <v>358</v>
      </c>
      <c r="AN6" s="64" t="s">
        <v>358</v>
      </c>
      <c r="AO6" s="64" t="s">
        <v>378</v>
      </c>
      <c r="AP6" s="64" t="s">
        <v>373</v>
      </c>
      <c r="AQ6" s="64" t="s">
        <v>377</v>
      </c>
      <c r="AR6" s="64" t="s">
        <v>358</v>
      </c>
      <c r="AS6" s="64" t="s">
        <v>358</v>
      </c>
      <c r="AT6" s="64" t="s">
        <v>358</v>
      </c>
      <c r="AU6" s="64" t="s">
        <v>358</v>
      </c>
      <c r="AV6" s="64" t="s">
        <v>358</v>
      </c>
      <c r="AW6" s="64" t="s">
        <v>358</v>
      </c>
      <c r="AX6" s="64" t="s">
        <v>358</v>
      </c>
      <c r="AY6" s="64" t="s">
        <v>358</v>
      </c>
      <c r="AZ6" s="64" t="s">
        <v>358</v>
      </c>
      <c r="BA6" s="64" t="s">
        <v>358</v>
      </c>
      <c r="BB6" s="64" t="s">
        <v>358</v>
      </c>
      <c r="BC6" s="64" t="s">
        <v>358</v>
      </c>
      <c r="BD6" s="64" t="s">
        <v>358</v>
      </c>
      <c r="BE6" s="64" t="s">
        <v>358</v>
      </c>
      <c r="BF6" s="64" t="s">
        <v>358</v>
      </c>
      <c r="BG6" s="64" t="s">
        <v>358</v>
      </c>
      <c r="BH6" s="64" t="s">
        <v>358</v>
      </c>
      <c r="BI6" s="64" t="s">
        <v>358</v>
      </c>
      <c r="BJ6" s="64" t="s">
        <v>358</v>
      </c>
      <c r="BK6" s="64" t="s">
        <v>358</v>
      </c>
      <c r="BL6" s="64" t="s">
        <v>358</v>
      </c>
      <c r="BM6" s="64" t="s">
        <v>358</v>
      </c>
      <c r="BN6" s="64" t="s">
        <v>358</v>
      </c>
      <c r="BO6" s="64" t="s">
        <v>358</v>
      </c>
      <c r="BP6" s="64" t="s">
        <v>358</v>
      </c>
      <c r="BQ6" s="64" t="s">
        <v>358</v>
      </c>
      <c r="BR6" s="64" t="s">
        <v>358</v>
      </c>
      <c r="BS6" s="64" t="s">
        <v>358</v>
      </c>
      <c r="BT6" s="64" t="s">
        <v>358</v>
      </c>
      <c r="BU6" s="64" t="s">
        <v>358</v>
      </c>
      <c r="BV6" s="64" t="s">
        <v>358</v>
      </c>
      <c r="BW6" s="64" t="s">
        <v>358</v>
      </c>
      <c r="BX6" s="64" t="s">
        <v>358</v>
      </c>
      <c r="BY6" s="64" t="s">
        <v>358</v>
      </c>
      <c r="CA6" s="67" t="s">
        <v>567</v>
      </c>
    </row>
    <row r="7" spans="1:80" x14ac:dyDescent="0.25">
      <c r="A7" s="64"/>
      <c r="B7" s="64" t="s">
        <v>362</v>
      </c>
      <c r="C7" s="64" t="s">
        <v>339</v>
      </c>
      <c r="D7" s="63" t="s">
        <v>243</v>
      </c>
      <c r="E7" s="64" t="s">
        <v>409</v>
      </c>
      <c r="F7" s="66" t="s">
        <v>418</v>
      </c>
      <c r="G7" s="66" t="s">
        <v>410</v>
      </c>
      <c r="H7" s="66" t="s">
        <v>410</v>
      </c>
      <c r="I7" s="66">
        <v>11</v>
      </c>
      <c r="J7" s="64" t="s">
        <v>419</v>
      </c>
      <c r="K7" s="64" t="s">
        <v>420</v>
      </c>
      <c r="L7" s="65">
        <v>103.98254</v>
      </c>
      <c r="M7" s="68">
        <v>1.0416300000000001</v>
      </c>
      <c r="N7" s="64" t="s">
        <v>468</v>
      </c>
      <c r="O7" s="64" t="s">
        <v>411</v>
      </c>
      <c r="P7" s="64" t="s">
        <v>412</v>
      </c>
      <c r="Q7" s="64" t="s">
        <v>576</v>
      </c>
      <c r="R7" s="64" t="s">
        <v>572</v>
      </c>
      <c r="S7" s="64" t="s">
        <v>366</v>
      </c>
      <c r="T7" s="64" t="s">
        <v>360</v>
      </c>
      <c r="U7" s="64" t="s">
        <v>359</v>
      </c>
      <c r="V7" s="64" t="s">
        <v>407</v>
      </c>
      <c r="W7" s="64" t="s">
        <v>413</v>
      </c>
      <c r="X7" s="64" t="s">
        <v>88</v>
      </c>
      <c r="Y7" s="64" t="s">
        <v>89</v>
      </c>
      <c r="Z7" s="64" t="s">
        <v>367</v>
      </c>
      <c r="AA7" s="64" t="s">
        <v>368</v>
      </c>
      <c r="AB7" s="64" t="s">
        <v>421</v>
      </c>
      <c r="AC7" s="64">
        <v>35</v>
      </c>
      <c r="AD7" s="66">
        <v>320</v>
      </c>
      <c r="AE7" s="64">
        <v>0</v>
      </c>
      <c r="AF7" s="64" t="s">
        <v>94</v>
      </c>
      <c r="AG7" s="64" t="s">
        <v>415</v>
      </c>
      <c r="AH7" s="64" t="s">
        <v>358</v>
      </c>
      <c r="AI7" s="64" t="s">
        <v>358</v>
      </c>
      <c r="AJ7" s="64" t="s">
        <v>358</v>
      </c>
      <c r="AK7" s="64" t="s">
        <v>358</v>
      </c>
      <c r="AL7" s="64" t="s">
        <v>358</v>
      </c>
      <c r="AM7" s="64" t="s">
        <v>358</v>
      </c>
      <c r="AN7" s="64" t="s">
        <v>358</v>
      </c>
      <c r="AO7" s="64" t="s">
        <v>358</v>
      </c>
      <c r="AP7" s="64" t="s">
        <v>358</v>
      </c>
      <c r="AQ7" s="64" t="s">
        <v>358</v>
      </c>
      <c r="AR7" s="64" t="s">
        <v>358</v>
      </c>
      <c r="AS7" s="64" t="s">
        <v>358</v>
      </c>
      <c r="AT7" s="64" t="s">
        <v>358</v>
      </c>
      <c r="AU7" s="64" t="s">
        <v>358</v>
      </c>
      <c r="AV7" s="64" t="s">
        <v>358</v>
      </c>
      <c r="AW7" s="64" t="s">
        <v>358</v>
      </c>
      <c r="AX7" s="64" t="s">
        <v>358</v>
      </c>
      <c r="AY7" s="64" t="s">
        <v>358</v>
      </c>
      <c r="AZ7" s="64" t="s">
        <v>358</v>
      </c>
      <c r="BA7" s="64" t="s">
        <v>358</v>
      </c>
      <c r="BB7" s="64" t="s">
        <v>358</v>
      </c>
      <c r="BC7" s="64" t="s">
        <v>358</v>
      </c>
      <c r="BD7" s="64" t="s">
        <v>358</v>
      </c>
      <c r="BE7" s="64" t="s">
        <v>358</v>
      </c>
      <c r="BF7" s="64" t="s">
        <v>358</v>
      </c>
      <c r="BG7" s="64" t="s">
        <v>358</v>
      </c>
      <c r="BH7" s="64" t="s">
        <v>358</v>
      </c>
      <c r="BI7" s="64" t="s">
        <v>358</v>
      </c>
      <c r="BJ7" s="66">
        <v>11927</v>
      </c>
      <c r="BK7" s="64">
        <v>57</v>
      </c>
      <c r="BL7" s="66">
        <v>19</v>
      </c>
      <c r="BM7" s="64">
        <v>540</v>
      </c>
      <c r="BN7" s="64" t="s">
        <v>358</v>
      </c>
      <c r="BO7" s="66">
        <v>10000</v>
      </c>
      <c r="BP7" s="64">
        <v>465046</v>
      </c>
      <c r="BQ7" s="64" t="str">
        <f>DEC2HEX(BP7)</f>
        <v>71896</v>
      </c>
      <c r="BR7" s="66">
        <v>3</v>
      </c>
      <c r="BS7" s="64">
        <v>1850</v>
      </c>
      <c r="BT7" s="64">
        <v>19850</v>
      </c>
      <c r="BU7" s="64" t="s">
        <v>374</v>
      </c>
      <c r="BV7" s="64" t="s">
        <v>375</v>
      </c>
      <c r="BW7" s="64" t="s">
        <v>376</v>
      </c>
      <c r="BX7" s="64" t="s">
        <v>416</v>
      </c>
      <c r="BY7" s="64" t="s">
        <v>417</v>
      </c>
      <c r="CA7" s="67" t="s">
        <v>568</v>
      </c>
    </row>
    <row r="8" spans="1:80" x14ac:dyDescent="0.25">
      <c r="A8" s="64"/>
      <c r="B8" s="64" t="s">
        <v>362</v>
      </c>
      <c r="C8" s="64" t="s">
        <v>339</v>
      </c>
      <c r="D8" s="64" t="s">
        <v>0</v>
      </c>
      <c r="E8" s="64" t="s">
        <v>409</v>
      </c>
      <c r="F8" s="64" t="s">
        <v>580</v>
      </c>
      <c r="G8" s="64" t="s">
        <v>410</v>
      </c>
      <c r="H8" s="64" t="s">
        <v>410</v>
      </c>
      <c r="I8" s="64">
        <v>460</v>
      </c>
      <c r="J8" s="64" t="s">
        <v>582</v>
      </c>
      <c r="K8" s="64" t="s">
        <v>372</v>
      </c>
      <c r="L8" s="65">
        <v>103.98254</v>
      </c>
      <c r="M8" s="65">
        <v>1.0416300000000001</v>
      </c>
      <c r="N8" s="64" t="s">
        <v>468</v>
      </c>
      <c r="O8" s="64" t="s">
        <v>411</v>
      </c>
      <c r="P8" s="64" t="s">
        <v>412</v>
      </c>
      <c r="Q8" s="64" t="s">
        <v>576</v>
      </c>
      <c r="R8" s="64" t="s">
        <v>572</v>
      </c>
      <c r="S8" s="64" t="s">
        <v>366</v>
      </c>
      <c r="T8" s="64" t="s">
        <v>360</v>
      </c>
      <c r="U8" s="64" t="s">
        <v>359</v>
      </c>
      <c r="V8" s="64" t="s">
        <v>407</v>
      </c>
      <c r="W8" s="64" t="s">
        <v>413</v>
      </c>
      <c r="X8" s="64" t="s">
        <v>88</v>
      </c>
      <c r="Y8" s="64" t="s">
        <v>577</v>
      </c>
      <c r="Z8" s="64" t="s">
        <v>367</v>
      </c>
      <c r="AA8" s="64" t="s">
        <v>370</v>
      </c>
      <c r="AB8" s="64" t="s">
        <v>414</v>
      </c>
      <c r="AC8" s="64">
        <v>35</v>
      </c>
      <c r="AD8" s="64">
        <v>0</v>
      </c>
      <c r="AE8" s="64" t="s">
        <v>369</v>
      </c>
      <c r="AF8" s="64" t="s">
        <v>94</v>
      </c>
      <c r="AG8" s="64" t="s">
        <v>363</v>
      </c>
      <c r="AH8" s="64">
        <v>11927</v>
      </c>
      <c r="AI8" s="64" t="s">
        <v>423</v>
      </c>
      <c r="AJ8" s="64" t="s">
        <v>358</v>
      </c>
      <c r="AK8" s="64" t="s">
        <v>358</v>
      </c>
      <c r="AL8" s="64" t="s">
        <v>358</v>
      </c>
      <c r="AM8" s="64" t="s">
        <v>358</v>
      </c>
      <c r="AN8" s="64" t="s">
        <v>358</v>
      </c>
      <c r="AO8" s="64" t="s">
        <v>378</v>
      </c>
      <c r="AP8" s="64" t="s">
        <v>373</v>
      </c>
      <c r="AQ8" s="64" t="s">
        <v>377</v>
      </c>
      <c r="AR8" s="64" t="s">
        <v>358</v>
      </c>
      <c r="AS8" s="64" t="s">
        <v>358</v>
      </c>
      <c r="AT8" s="64" t="s">
        <v>358</v>
      </c>
      <c r="AU8" s="64" t="s">
        <v>358</v>
      </c>
      <c r="AV8" s="64" t="s">
        <v>358</v>
      </c>
      <c r="AW8" s="64" t="s">
        <v>358</v>
      </c>
      <c r="AX8" s="64" t="s">
        <v>358</v>
      </c>
      <c r="AY8" s="64" t="s">
        <v>358</v>
      </c>
      <c r="AZ8" s="64" t="s">
        <v>358</v>
      </c>
      <c r="BA8" s="64" t="s">
        <v>358</v>
      </c>
      <c r="BB8" s="64" t="s">
        <v>358</v>
      </c>
      <c r="BC8" s="64" t="s">
        <v>358</v>
      </c>
      <c r="BD8" s="64" t="s">
        <v>358</v>
      </c>
      <c r="BE8" s="64" t="s">
        <v>358</v>
      </c>
      <c r="BF8" s="64" t="s">
        <v>358</v>
      </c>
      <c r="BG8" s="64" t="s">
        <v>358</v>
      </c>
      <c r="BH8" s="64" t="s">
        <v>358</v>
      </c>
      <c r="BI8" s="64" t="s">
        <v>358</v>
      </c>
      <c r="BJ8" s="64" t="s">
        <v>358</v>
      </c>
      <c r="BK8" s="64" t="s">
        <v>358</v>
      </c>
      <c r="BL8" s="64" t="s">
        <v>358</v>
      </c>
      <c r="BM8" s="64" t="s">
        <v>358</v>
      </c>
      <c r="BN8" s="64" t="s">
        <v>358</v>
      </c>
      <c r="BO8" s="64" t="s">
        <v>358</v>
      </c>
      <c r="BP8" s="64" t="s">
        <v>358</v>
      </c>
      <c r="BQ8" s="64" t="s">
        <v>358</v>
      </c>
      <c r="BR8" s="64" t="s">
        <v>358</v>
      </c>
      <c r="BS8" s="64" t="s">
        <v>358</v>
      </c>
      <c r="BT8" s="64" t="s">
        <v>358</v>
      </c>
      <c r="BU8" s="64" t="s">
        <v>358</v>
      </c>
      <c r="BV8" s="64" t="s">
        <v>358</v>
      </c>
      <c r="BW8" s="64" t="s">
        <v>358</v>
      </c>
      <c r="BX8" s="64" t="s">
        <v>358</v>
      </c>
      <c r="BY8" s="64" t="s">
        <v>358</v>
      </c>
      <c r="CA8" s="67" t="s">
        <v>568</v>
      </c>
    </row>
    <row r="9" spans="1:80" x14ac:dyDescent="0.25">
      <c r="A9" s="64"/>
      <c r="B9" s="64" t="s">
        <v>362</v>
      </c>
      <c r="C9" s="64" t="s">
        <v>339</v>
      </c>
      <c r="D9" s="64" t="s">
        <v>0</v>
      </c>
      <c r="E9" s="64" t="s">
        <v>409</v>
      </c>
      <c r="F9" s="64" t="s">
        <v>461</v>
      </c>
      <c r="G9" s="64" t="s">
        <v>410</v>
      </c>
      <c r="H9" s="64" t="s">
        <v>410</v>
      </c>
      <c r="I9" s="64" t="s">
        <v>581</v>
      </c>
      <c r="J9" s="64" t="s">
        <v>579</v>
      </c>
      <c r="K9" s="64" t="s">
        <v>467</v>
      </c>
      <c r="L9" s="65">
        <v>103.98254</v>
      </c>
      <c r="M9" s="65">
        <v>1.0416300000000001</v>
      </c>
      <c r="N9" s="64" t="s">
        <v>468</v>
      </c>
      <c r="O9" s="64" t="s">
        <v>411</v>
      </c>
      <c r="P9" s="64" t="s">
        <v>412</v>
      </c>
      <c r="Q9" s="64" t="s">
        <v>576</v>
      </c>
      <c r="R9" s="64" t="s">
        <v>572</v>
      </c>
      <c r="S9" s="64" t="s">
        <v>366</v>
      </c>
      <c r="T9" s="64" t="s">
        <v>360</v>
      </c>
      <c r="U9" s="64" t="s">
        <v>359</v>
      </c>
      <c r="V9" s="64" t="s">
        <v>407</v>
      </c>
      <c r="W9" s="64" t="s">
        <v>413</v>
      </c>
      <c r="X9" s="64" t="s">
        <v>88</v>
      </c>
      <c r="Y9" s="64" t="s">
        <v>89</v>
      </c>
      <c r="Z9" s="64" t="s">
        <v>367</v>
      </c>
      <c r="AA9" s="64" t="s">
        <v>370</v>
      </c>
      <c r="AB9" s="64" t="s">
        <v>421</v>
      </c>
      <c r="AC9" s="64">
        <v>35</v>
      </c>
      <c r="AD9" s="64">
        <v>320</v>
      </c>
      <c r="AE9" s="64" t="s">
        <v>369</v>
      </c>
      <c r="AF9" s="64" t="s">
        <v>94</v>
      </c>
      <c r="AG9" s="64" t="s">
        <v>363</v>
      </c>
      <c r="AH9" s="64">
        <v>11927</v>
      </c>
      <c r="AI9" s="64" t="s">
        <v>423</v>
      </c>
      <c r="AJ9" s="64" t="s">
        <v>358</v>
      </c>
      <c r="AK9" s="64" t="s">
        <v>358</v>
      </c>
      <c r="AL9" s="64" t="s">
        <v>358</v>
      </c>
      <c r="AM9" s="64" t="s">
        <v>358</v>
      </c>
      <c r="AN9" s="64" t="s">
        <v>358</v>
      </c>
      <c r="AO9" s="64" t="s">
        <v>378</v>
      </c>
      <c r="AP9" s="64" t="s">
        <v>373</v>
      </c>
      <c r="AQ9" s="64" t="s">
        <v>469</v>
      </c>
      <c r="AR9" s="64" t="s">
        <v>358</v>
      </c>
      <c r="AS9" s="64" t="s">
        <v>358</v>
      </c>
      <c r="AT9" s="64" t="s">
        <v>358</v>
      </c>
      <c r="AU9" s="64" t="s">
        <v>358</v>
      </c>
      <c r="AV9" s="64" t="s">
        <v>358</v>
      </c>
      <c r="AW9" s="64" t="s">
        <v>358</v>
      </c>
      <c r="AX9" s="64" t="s">
        <v>358</v>
      </c>
      <c r="AY9" s="64" t="s">
        <v>358</v>
      </c>
      <c r="AZ9" s="64" t="s">
        <v>358</v>
      </c>
      <c r="BA9" s="64" t="s">
        <v>358</v>
      </c>
      <c r="BB9" s="64" t="s">
        <v>358</v>
      </c>
      <c r="BC9" s="64" t="s">
        <v>358</v>
      </c>
      <c r="BD9" s="64" t="s">
        <v>358</v>
      </c>
      <c r="BE9" s="64" t="s">
        <v>358</v>
      </c>
      <c r="BF9" s="64" t="s">
        <v>358</v>
      </c>
      <c r="BG9" s="64" t="s">
        <v>358</v>
      </c>
      <c r="BH9" s="64" t="s">
        <v>358</v>
      </c>
      <c r="BI9" s="64" t="s">
        <v>358</v>
      </c>
      <c r="BJ9" s="64" t="s">
        <v>358</v>
      </c>
      <c r="BK9" s="64" t="s">
        <v>358</v>
      </c>
      <c r="BL9" s="64" t="s">
        <v>358</v>
      </c>
      <c r="BM9" s="64" t="s">
        <v>358</v>
      </c>
      <c r="BN9" s="64" t="s">
        <v>358</v>
      </c>
      <c r="BO9" s="64" t="s">
        <v>358</v>
      </c>
      <c r="BP9" s="64" t="s">
        <v>358</v>
      </c>
      <c r="BQ9" s="64" t="s">
        <v>358</v>
      </c>
      <c r="BR9" s="64" t="s">
        <v>358</v>
      </c>
      <c r="BS9" s="64" t="s">
        <v>358</v>
      </c>
      <c r="BT9" s="64" t="s">
        <v>358</v>
      </c>
      <c r="BU9" s="64" t="s">
        <v>358</v>
      </c>
      <c r="BV9" s="64" t="s">
        <v>358</v>
      </c>
      <c r="BW9" s="64" t="s">
        <v>358</v>
      </c>
      <c r="BX9" s="64" t="s">
        <v>358</v>
      </c>
      <c r="BY9" s="64" t="s">
        <v>358</v>
      </c>
      <c r="CA9" s="67" t="s">
        <v>568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H1:AP1"/>
    <mergeCell ref="AR1:BH1"/>
    <mergeCell ref="BI1:BY1"/>
  </mergeCells>
  <phoneticPr fontId="7" type="noConversion"/>
  <pageMargins left="0.7" right="0.7" top="0.75" bottom="0.75" header="0.3" footer="0.3"/>
  <pageSetup orientation="portrait" r:id="rId1"/>
  <headerFooter>
    <oddFooter>&amp;L&amp;1#&amp;"Calibri"&amp;8&amp;K000000Internal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5D17-42B0-418D-BDA4-DC27FEAA283E}">
  <sheetPr>
    <tabColor rgb="FFFFC000"/>
  </sheetPr>
  <dimension ref="A1:CA16"/>
  <sheetViews>
    <sheetView zoomScale="135" workbookViewId="0">
      <selection sqref="A1:XFD1"/>
    </sheetView>
  </sheetViews>
  <sheetFormatPr defaultRowHeight="11.25" x14ac:dyDescent="0.25"/>
  <cols>
    <col min="1" max="1" width="7.28515625" style="30" bestFit="1" customWidth="1"/>
    <col min="2" max="2" width="12.42578125" style="30" bestFit="1" customWidth="1"/>
    <col min="3" max="3" width="8.28515625" style="30" bestFit="1" customWidth="1"/>
    <col min="4" max="4" width="14.5703125" style="30" bestFit="1" customWidth="1"/>
    <col min="5" max="5" width="8.7109375" style="30" bestFit="1" customWidth="1"/>
    <col min="6" max="6" width="8.140625" style="30" bestFit="1" customWidth="1"/>
    <col min="7" max="8" width="28.42578125" style="30" bestFit="1" customWidth="1"/>
    <col min="9" max="9" width="14.85546875" style="30" bestFit="1" customWidth="1"/>
    <col min="10" max="10" width="26.42578125" style="30" bestFit="1" customWidth="1"/>
    <col min="11" max="11" width="20.140625" style="30" bestFit="1" customWidth="1"/>
    <col min="12" max="12" width="9.5703125" style="30" bestFit="1" customWidth="1"/>
    <col min="13" max="13" width="7.85546875" style="30" bestFit="1" customWidth="1"/>
    <col min="14" max="14" width="23" style="30" bestFit="1" customWidth="1"/>
    <col min="15" max="15" width="11.28515625" style="30" bestFit="1" customWidth="1"/>
    <col min="16" max="16" width="9.85546875" style="30" bestFit="1" customWidth="1"/>
    <col min="17" max="17" width="10.42578125" style="30" bestFit="1" customWidth="1"/>
    <col min="18" max="18" width="36.85546875" style="30" bestFit="1" customWidth="1"/>
    <col min="19" max="19" width="6.140625" style="30" bestFit="1" customWidth="1"/>
    <col min="20" max="20" width="9" style="30" bestFit="1" customWidth="1"/>
    <col min="21" max="21" width="15.28515625" style="30" bestFit="1" customWidth="1"/>
    <col min="22" max="22" width="8.28515625" style="30" bestFit="1" customWidth="1"/>
    <col min="23" max="23" width="8.42578125" style="30" bestFit="1" customWidth="1"/>
    <col min="24" max="24" width="7.85546875" style="30" bestFit="1" customWidth="1"/>
    <col min="25" max="25" width="12.140625" style="30" bestFit="1" customWidth="1"/>
    <col min="26" max="26" width="16.85546875" style="30" bestFit="1" customWidth="1"/>
    <col min="27" max="27" width="6.140625" style="30" bestFit="1" customWidth="1"/>
    <col min="28" max="28" width="10.85546875" style="30" bestFit="1" customWidth="1"/>
    <col min="29" max="29" width="11.42578125" style="30" bestFit="1" customWidth="1"/>
    <col min="30" max="31" width="10.5703125" style="30" bestFit="1" customWidth="1"/>
    <col min="32" max="32" width="12.7109375" style="30" bestFit="1" customWidth="1"/>
    <col min="33" max="33" width="11.140625" style="30" bestFit="1" customWidth="1"/>
    <col min="34" max="34" width="16.140625" style="30" bestFit="1" customWidth="1"/>
    <col min="35" max="35" width="11" style="30" bestFit="1" customWidth="1"/>
    <col min="36" max="36" width="11.85546875" style="30" bestFit="1" customWidth="1"/>
    <col min="37" max="37" width="17.5703125" style="30" bestFit="1" customWidth="1"/>
    <col min="38" max="38" width="12.7109375" style="30" bestFit="1" customWidth="1"/>
    <col min="39" max="39" width="15.7109375" style="30" bestFit="1" customWidth="1"/>
    <col min="40" max="40" width="16" style="30" bestFit="1" customWidth="1"/>
    <col min="41" max="41" width="12.7109375" style="30" bestFit="1" customWidth="1"/>
    <col min="42" max="42" width="6.5703125" style="30" bestFit="1" customWidth="1"/>
    <col min="43" max="43" width="5.85546875" style="30" bestFit="1" customWidth="1"/>
    <col min="44" max="44" width="8" style="30" bestFit="1" customWidth="1"/>
    <col min="45" max="45" width="3.42578125" style="30" bestFit="1" customWidth="1"/>
    <col min="46" max="46" width="3.5703125" style="30" bestFit="1" customWidth="1"/>
    <col min="47" max="47" width="5.42578125" style="30" bestFit="1" customWidth="1"/>
    <col min="48" max="48" width="3.42578125" style="30" bestFit="1" customWidth="1"/>
    <col min="49" max="49" width="2.5703125" style="30" bestFit="1" customWidth="1"/>
    <col min="50" max="50" width="6.42578125" style="30" bestFit="1" customWidth="1"/>
    <col min="51" max="51" width="8" style="30" bestFit="1" customWidth="1"/>
    <col min="52" max="52" width="3.7109375" style="30" bestFit="1" customWidth="1"/>
    <col min="53" max="53" width="6.42578125" style="30" bestFit="1" customWidth="1"/>
    <col min="54" max="54" width="4.7109375" style="30" bestFit="1" customWidth="1"/>
    <col min="55" max="55" width="2.42578125" style="30" bestFit="1" customWidth="1"/>
    <col min="56" max="56" width="4" style="30" bestFit="1" customWidth="1"/>
    <col min="57" max="57" width="4.140625" style="30" bestFit="1" customWidth="1"/>
    <col min="58" max="58" width="8" style="30" bestFit="1" customWidth="1"/>
    <col min="59" max="59" width="11" style="30" bestFit="1" customWidth="1"/>
    <col min="60" max="60" width="3.28515625" style="30" bestFit="1" customWidth="1"/>
    <col min="61" max="61" width="5.28515625" style="30" bestFit="1" customWidth="1"/>
    <col min="62" max="62" width="9.5703125" style="30" bestFit="1" customWidth="1"/>
    <col min="63" max="63" width="5.140625" style="30" bestFit="1" customWidth="1"/>
    <col min="64" max="64" width="5.42578125" style="30" bestFit="1" customWidth="1"/>
    <col min="65" max="65" width="5.140625" style="30" bestFit="1" customWidth="1"/>
    <col min="66" max="66" width="10.85546875" style="30" bestFit="1" customWidth="1"/>
    <col min="67" max="67" width="13.7109375" style="30" bestFit="1" customWidth="1"/>
    <col min="68" max="68" width="18.42578125" style="30" bestFit="1" customWidth="1"/>
    <col min="69" max="69" width="11.7109375" style="30" bestFit="1" customWidth="1"/>
    <col min="70" max="71" width="8" style="30" bestFit="1" customWidth="1"/>
    <col min="72" max="72" width="4.42578125" style="30" bestFit="1" customWidth="1"/>
    <col min="73" max="73" width="4.5703125" style="30" bestFit="1" customWidth="1"/>
    <col min="74" max="74" width="4.7109375" style="30" bestFit="1" customWidth="1"/>
    <col min="75" max="75" width="4" style="30" bestFit="1" customWidth="1"/>
    <col min="76" max="76" width="4.140625" style="30" bestFit="1" customWidth="1"/>
    <col min="77" max="77" width="9.140625" style="30"/>
    <col min="78" max="78" width="7.7109375" style="30" bestFit="1" customWidth="1"/>
    <col min="79" max="79" width="6.140625" style="30" bestFit="1" customWidth="1"/>
    <col min="80" max="16384" width="9.140625" style="30"/>
  </cols>
  <sheetData>
    <row r="1" spans="1:79" x14ac:dyDescent="0.25">
      <c r="A1" s="31" t="s">
        <v>424</v>
      </c>
      <c r="B1" s="31" t="s">
        <v>425</v>
      </c>
      <c r="C1" s="31" t="s">
        <v>426</v>
      </c>
      <c r="D1" s="31" t="s">
        <v>427</v>
      </c>
      <c r="E1" s="31" t="s">
        <v>14</v>
      </c>
      <c r="F1" s="31" t="s">
        <v>15</v>
      </c>
      <c r="G1" s="31" t="s">
        <v>428</v>
      </c>
      <c r="H1" s="31" t="s">
        <v>429</v>
      </c>
      <c r="I1" s="31" t="s">
        <v>430</v>
      </c>
      <c r="J1" s="31" t="s">
        <v>431</v>
      </c>
      <c r="K1" s="31" t="s">
        <v>432</v>
      </c>
      <c r="L1" s="31" t="s">
        <v>433</v>
      </c>
      <c r="M1" s="31" t="s">
        <v>434</v>
      </c>
      <c r="N1" s="31" t="s">
        <v>435</v>
      </c>
      <c r="O1" s="31" t="s">
        <v>436</v>
      </c>
      <c r="P1" s="31" t="s">
        <v>437</v>
      </c>
      <c r="Q1" s="31" t="s">
        <v>438</v>
      </c>
      <c r="R1" s="31" t="s">
        <v>439</v>
      </c>
      <c r="S1" s="31" t="s">
        <v>29</v>
      </c>
      <c r="T1" s="31" t="s">
        <v>440</v>
      </c>
      <c r="U1" s="31" t="s">
        <v>441</v>
      </c>
      <c r="V1" s="31" t="s">
        <v>442</v>
      </c>
      <c r="W1" s="31" t="s">
        <v>36</v>
      </c>
      <c r="X1" s="31" t="s">
        <v>443</v>
      </c>
      <c r="Y1" s="30" t="s">
        <v>361</v>
      </c>
    </row>
    <row r="2" spans="1:79" x14ac:dyDescent="0.25">
      <c r="A2" s="32" t="s">
        <v>444</v>
      </c>
      <c r="B2" s="32" t="s">
        <v>445</v>
      </c>
      <c r="C2" s="32" t="s">
        <v>446</v>
      </c>
      <c r="D2" s="32" t="s">
        <v>447</v>
      </c>
      <c r="E2" s="33">
        <v>104.01</v>
      </c>
      <c r="F2" s="33">
        <v>1.14401</v>
      </c>
      <c r="G2" s="32" t="s">
        <v>448</v>
      </c>
      <c r="H2" s="32" t="s">
        <v>449</v>
      </c>
      <c r="I2" s="32">
        <v>1</v>
      </c>
      <c r="J2" s="32" t="s">
        <v>341</v>
      </c>
      <c r="K2" s="32">
        <v>1800</v>
      </c>
      <c r="L2" s="32">
        <v>0</v>
      </c>
      <c r="M2" s="32">
        <v>360</v>
      </c>
      <c r="N2" s="32">
        <v>0</v>
      </c>
      <c r="O2" s="32">
        <v>0</v>
      </c>
      <c r="P2" s="32" t="s">
        <v>414</v>
      </c>
      <c r="Q2" s="32">
        <v>360</v>
      </c>
      <c r="R2" s="32">
        <v>0.02</v>
      </c>
      <c r="S2" s="32" t="s">
        <v>450</v>
      </c>
      <c r="T2" s="32" t="s">
        <v>451</v>
      </c>
      <c r="U2" s="32" t="s">
        <v>452</v>
      </c>
      <c r="V2" s="32" t="s">
        <v>453</v>
      </c>
      <c r="W2" s="32">
        <v>11908</v>
      </c>
      <c r="X2" s="32">
        <v>4129</v>
      </c>
      <c r="Y2" s="30" t="s">
        <v>460</v>
      </c>
    </row>
    <row r="3" spans="1:79" x14ac:dyDescent="0.25">
      <c r="A3" s="32" t="s">
        <v>444</v>
      </c>
      <c r="B3" s="32" t="s">
        <v>445</v>
      </c>
      <c r="C3" s="32" t="s">
        <v>454</v>
      </c>
      <c r="D3" s="32" t="s">
        <v>447</v>
      </c>
      <c r="E3" s="33">
        <v>104.01</v>
      </c>
      <c r="F3" s="33">
        <v>1.14401</v>
      </c>
      <c r="G3" s="32" t="s">
        <v>455</v>
      </c>
      <c r="H3" s="32" t="s">
        <v>449</v>
      </c>
      <c r="I3" s="32">
        <v>1</v>
      </c>
      <c r="J3" s="32" t="s">
        <v>341</v>
      </c>
      <c r="K3" s="32">
        <v>900</v>
      </c>
      <c r="L3" s="32">
        <v>0</v>
      </c>
      <c r="M3" s="32">
        <v>360</v>
      </c>
      <c r="N3" s="32">
        <v>0</v>
      </c>
      <c r="O3" s="32">
        <v>0</v>
      </c>
      <c r="P3" s="32" t="s">
        <v>414</v>
      </c>
      <c r="Q3" s="32">
        <v>360</v>
      </c>
      <c r="R3" s="32">
        <v>0.02</v>
      </c>
      <c r="S3" s="32" t="s">
        <v>456</v>
      </c>
      <c r="T3" s="32" t="s">
        <v>457</v>
      </c>
      <c r="U3" s="32" t="s">
        <v>458</v>
      </c>
      <c r="V3" s="32" t="s">
        <v>459</v>
      </c>
      <c r="W3" s="32">
        <v>11908</v>
      </c>
      <c r="X3" s="32">
        <v>4120</v>
      </c>
      <c r="Y3" s="30" t="s">
        <v>460</v>
      </c>
    </row>
    <row r="4" spans="1:79" x14ac:dyDescent="0.25">
      <c r="A4" s="32" t="s">
        <v>444</v>
      </c>
      <c r="B4" s="32" t="s">
        <v>381</v>
      </c>
      <c r="C4" s="32" t="s">
        <v>470</v>
      </c>
      <c r="D4" s="32" t="s">
        <v>471</v>
      </c>
      <c r="E4" s="32">
        <v>100.50695</v>
      </c>
      <c r="F4" s="32">
        <v>-8.8510000000000005E-2</v>
      </c>
      <c r="G4" s="32" t="s">
        <v>472</v>
      </c>
      <c r="H4" s="32" t="s">
        <v>473</v>
      </c>
      <c r="I4" s="32">
        <v>1</v>
      </c>
      <c r="J4" s="32" t="s">
        <v>89</v>
      </c>
      <c r="K4" s="32">
        <v>900</v>
      </c>
      <c r="L4" s="32">
        <v>36</v>
      </c>
      <c r="M4" s="32">
        <v>70</v>
      </c>
      <c r="N4" s="32"/>
      <c r="O4" s="32"/>
      <c r="P4" s="32"/>
      <c r="Q4" s="32">
        <v>25</v>
      </c>
      <c r="R4" s="32">
        <v>0.09</v>
      </c>
      <c r="S4" s="32" t="s">
        <v>474</v>
      </c>
      <c r="T4" s="32" t="s">
        <v>475</v>
      </c>
      <c r="U4" s="32" t="s">
        <v>476</v>
      </c>
      <c r="V4" s="32" t="s">
        <v>477</v>
      </c>
      <c r="W4" s="32">
        <v>11518</v>
      </c>
      <c r="X4" s="32">
        <v>60741</v>
      </c>
    </row>
    <row r="5" spans="1:79" x14ac:dyDescent="0.25">
      <c r="A5" s="32" t="s">
        <v>444</v>
      </c>
      <c r="B5" s="32" t="s">
        <v>381</v>
      </c>
      <c r="C5" s="32" t="s">
        <v>470</v>
      </c>
      <c r="D5" s="32" t="s">
        <v>471</v>
      </c>
      <c r="E5" s="32">
        <v>100.50695</v>
      </c>
      <c r="F5" s="32">
        <v>-8.8510000000000005E-2</v>
      </c>
      <c r="G5" s="32" t="s">
        <v>478</v>
      </c>
      <c r="H5" s="32" t="s">
        <v>473</v>
      </c>
      <c r="I5" s="32">
        <v>2</v>
      </c>
      <c r="J5" s="32" t="s">
        <v>89</v>
      </c>
      <c r="K5" s="32">
        <v>900</v>
      </c>
      <c r="L5" s="32">
        <v>36</v>
      </c>
      <c r="M5" s="32">
        <v>185</v>
      </c>
      <c r="N5" s="32"/>
      <c r="O5" s="32"/>
      <c r="P5" s="32"/>
      <c r="Q5" s="32">
        <v>25</v>
      </c>
      <c r="R5" s="32">
        <v>0.09</v>
      </c>
      <c r="S5" s="32" t="s">
        <v>474</v>
      </c>
      <c r="T5" s="32" t="s">
        <v>479</v>
      </c>
      <c r="U5" s="32" t="s">
        <v>480</v>
      </c>
      <c r="V5" s="32" t="s">
        <v>481</v>
      </c>
      <c r="W5" s="32">
        <v>11518</v>
      </c>
      <c r="X5" s="32">
        <v>60742</v>
      </c>
    </row>
    <row r="6" spans="1:79" x14ac:dyDescent="0.25">
      <c r="A6" s="32" t="s">
        <v>444</v>
      </c>
      <c r="B6" s="32" t="s">
        <v>381</v>
      </c>
      <c r="C6" s="32" t="s">
        <v>470</v>
      </c>
      <c r="D6" s="32" t="s">
        <v>471</v>
      </c>
      <c r="E6" s="32">
        <v>100.50695</v>
      </c>
      <c r="F6" s="32">
        <v>-8.8510000000000005E-2</v>
      </c>
      <c r="G6" s="32" t="s">
        <v>482</v>
      </c>
      <c r="H6" s="32" t="s">
        <v>473</v>
      </c>
      <c r="I6" s="32">
        <v>3</v>
      </c>
      <c r="J6" s="32" t="s">
        <v>89</v>
      </c>
      <c r="K6" s="32">
        <v>900</v>
      </c>
      <c r="L6" s="32">
        <v>36</v>
      </c>
      <c r="M6" s="32">
        <v>285</v>
      </c>
      <c r="N6" s="32"/>
      <c r="O6" s="32"/>
      <c r="P6" s="32"/>
      <c r="Q6" s="32">
        <v>25</v>
      </c>
      <c r="R6" s="32">
        <v>0.09</v>
      </c>
      <c r="S6" s="32" t="s">
        <v>474</v>
      </c>
      <c r="T6" s="32" t="s">
        <v>483</v>
      </c>
      <c r="U6" s="32" t="s">
        <v>484</v>
      </c>
      <c r="V6" s="32" t="s">
        <v>485</v>
      </c>
      <c r="W6" s="32">
        <v>11518</v>
      </c>
      <c r="X6" s="32">
        <v>60743</v>
      </c>
    </row>
    <row r="9" spans="1:79" x14ac:dyDescent="0.25">
      <c r="A9" s="31" t="s">
        <v>486</v>
      </c>
      <c r="B9" s="31" t="s">
        <v>487</v>
      </c>
      <c r="C9" s="31" t="s">
        <v>488</v>
      </c>
      <c r="D9" s="31" t="s">
        <v>489</v>
      </c>
      <c r="E9" s="34" t="s">
        <v>14</v>
      </c>
      <c r="F9" s="34" t="s">
        <v>15</v>
      </c>
      <c r="G9" s="31" t="s">
        <v>490</v>
      </c>
      <c r="H9" s="31" t="s">
        <v>491</v>
      </c>
      <c r="I9" s="31" t="s">
        <v>492</v>
      </c>
      <c r="J9" s="31" t="s">
        <v>493</v>
      </c>
      <c r="K9" s="31" t="s">
        <v>434</v>
      </c>
      <c r="L9" s="31" t="s">
        <v>494</v>
      </c>
      <c r="M9" s="31" t="s">
        <v>495</v>
      </c>
      <c r="N9" s="31" t="s">
        <v>437</v>
      </c>
      <c r="O9" s="31" t="s">
        <v>496</v>
      </c>
      <c r="P9" s="31" t="s">
        <v>497</v>
      </c>
      <c r="Q9" s="31" t="s">
        <v>498</v>
      </c>
      <c r="R9" s="31" t="s">
        <v>438</v>
      </c>
      <c r="S9" s="31" t="s">
        <v>499</v>
      </c>
      <c r="T9" s="31" t="s">
        <v>500</v>
      </c>
      <c r="U9" s="31" t="s">
        <v>501</v>
      </c>
      <c r="V9" s="31" t="s">
        <v>502</v>
      </c>
      <c r="W9" s="31" t="s">
        <v>56</v>
      </c>
      <c r="X9" s="31" t="s">
        <v>57</v>
      </c>
      <c r="Y9" s="31" t="s">
        <v>430</v>
      </c>
      <c r="Z9" s="31" t="s">
        <v>503</v>
      </c>
      <c r="AA9" s="31" t="s">
        <v>504</v>
      </c>
      <c r="AB9" s="31" t="s">
        <v>505</v>
      </c>
      <c r="AC9" s="31" t="s">
        <v>506</v>
      </c>
      <c r="AD9" s="31" t="s">
        <v>507</v>
      </c>
      <c r="AE9" s="31" t="s">
        <v>508</v>
      </c>
      <c r="AF9" s="31" t="s">
        <v>509</v>
      </c>
      <c r="AG9" s="31" t="s">
        <v>510</v>
      </c>
      <c r="AH9" s="31" t="s">
        <v>511</v>
      </c>
      <c r="AI9" s="31" t="s">
        <v>512</v>
      </c>
      <c r="AJ9" s="35" t="s">
        <v>513</v>
      </c>
      <c r="AK9" s="36" t="s">
        <v>514</v>
      </c>
      <c r="AL9" s="31" t="s">
        <v>515</v>
      </c>
      <c r="AM9" s="36" t="s">
        <v>516</v>
      </c>
      <c r="AN9" s="31" t="s">
        <v>517</v>
      </c>
      <c r="AO9" s="31" t="s">
        <v>518</v>
      </c>
      <c r="AP9" s="31" t="s">
        <v>519</v>
      </c>
      <c r="AQ9" s="31" t="s">
        <v>520</v>
      </c>
    </row>
    <row r="10" spans="1:79" x14ac:dyDescent="0.25">
      <c r="A10" s="32" t="s">
        <v>339</v>
      </c>
      <c r="B10" s="32" t="s">
        <v>381</v>
      </c>
      <c r="C10" s="32" t="s">
        <v>521</v>
      </c>
      <c r="D10" s="32" t="s">
        <v>471</v>
      </c>
      <c r="E10" s="32">
        <v>100.50695</v>
      </c>
      <c r="F10" s="32">
        <v>-8.8510000000000005E-2</v>
      </c>
      <c r="G10" s="32" t="s">
        <v>522</v>
      </c>
      <c r="H10" s="32" t="s">
        <v>523</v>
      </c>
      <c r="I10" s="32">
        <v>50</v>
      </c>
      <c r="J10" s="32">
        <v>48</v>
      </c>
      <c r="K10" s="32">
        <v>75</v>
      </c>
      <c r="L10" s="32">
        <v>1</v>
      </c>
      <c r="M10" s="32" t="s">
        <v>524</v>
      </c>
      <c r="N10" s="32" t="s">
        <v>525</v>
      </c>
      <c r="O10" s="32" t="s">
        <v>524</v>
      </c>
      <c r="P10" s="32" t="s">
        <v>526</v>
      </c>
      <c r="Q10" s="32" t="s">
        <v>89</v>
      </c>
      <c r="R10" s="32">
        <v>25</v>
      </c>
      <c r="S10" s="32">
        <v>0.09</v>
      </c>
      <c r="T10" s="32" t="s">
        <v>477</v>
      </c>
      <c r="U10" s="32" t="s">
        <v>527</v>
      </c>
      <c r="V10" s="32">
        <v>3500</v>
      </c>
      <c r="W10" s="32">
        <v>11518</v>
      </c>
      <c r="X10" s="32">
        <v>315</v>
      </c>
      <c r="Y10" s="32" t="s">
        <v>528</v>
      </c>
      <c r="Z10" s="32">
        <v>40000</v>
      </c>
      <c r="AA10" s="32">
        <v>509074</v>
      </c>
      <c r="AB10" s="32" t="s">
        <v>529</v>
      </c>
      <c r="AC10" s="32" t="s">
        <v>530</v>
      </c>
      <c r="AD10" s="32" t="s">
        <v>531</v>
      </c>
      <c r="AE10" s="32" t="s">
        <v>532</v>
      </c>
      <c r="AF10" s="32" t="s">
        <v>533</v>
      </c>
      <c r="AG10" s="32" t="s">
        <v>534</v>
      </c>
      <c r="AH10" s="32" t="s">
        <v>535</v>
      </c>
      <c r="AI10" s="32" t="s">
        <v>536</v>
      </c>
      <c r="AJ10" s="37">
        <v>44612</v>
      </c>
      <c r="AK10" s="38">
        <v>219.5</v>
      </c>
      <c r="AL10" s="38">
        <v>99.95</v>
      </c>
      <c r="AM10" s="32">
        <v>63.33</v>
      </c>
      <c r="AN10" s="32">
        <v>19</v>
      </c>
      <c r="AO10" s="32">
        <v>2</v>
      </c>
      <c r="AP10" s="32"/>
      <c r="AQ10" s="32" t="s">
        <v>534</v>
      </c>
    </row>
    <row r="11" spans="1:79" x14ac:dyDescent="0.25">
      <c r="A11" s="32" t="s">
        <v>339</v>
      </c>
      <c r="B11" s="32" t="s">
        <v>381</v>
      </c>
      <c r="C11" s="32" t="s">
        <v>521</v>
      </c>
      <c r="D11" s="32" t="s">
        <v>471</v>
      </c>
      <c r="E11" s="32">
        <v>100.50695</v>
      </c>
      <c r="F11" s="32">
        <v>-8.8510000000000005E-2</v>
      </c>
      <c r="G11" s="32" t="s">
        <v>537</v>
      </c>
      <c r="H11" s="32" t="s">
        <v>523</v>
      </c>
      <c r="I11" s="32">
        <v>50</v>
      </c>
      <c r="J11" s="32">
        <v>48</v>
      </c>
      <c r="K11" s="32">
        <v>285</v>
      </c>
      <c r="L11" s="32">
        <v>1</v>
      </c>
      <c r="M11" s="32" t="s">
        <v>524</v>
      </c>
      <c r="N11" s="32" t="s">
        <v>525</v>
      </c>
      <c r="O11" s="32" t="s">
        <v>524</v>
      </c>
      <c r="P11" s="32" t="s">
        <v>526</v>
      </c>
      <c r="Q11" s="32" t="s">
        <v>89</v>
      </c>
      <c r="R11" s="32">
        <v>25</v>
      </c>
      <c r="S11" s="32">
        <v>0.09</v>
      </c>
      <c r="T11" s="32" t="s">
        <v>453</v>
      </c>
      <c r="U11" s="32" t="s">
        <v>527</v>
      </c>
      <c r="V11" s="32">
        <v>3500</v>
      </c>
      <c r="W11" s="32">
        <v>11518</v>
      </c>
      <c r="X11" s="32">
        <v>316</v>
      </c>
      <c r="Y11" s="32" t="s">
        <v>538</v>
      </c>
      <c r="Z11" s="32">
        <v>40000</v>
      </c>
      <c r="AA11" s="32">
        <v>509074</v>
      </c>
      <c r="AB11" s="32" t="s">
        <v>529</v>
      </c>
      <c r="AC11" s="32" t="s">
        <v>530</v>
      </c>
      <c r="AD11" s="32" t="s">
        <v>531</v>
      </c>
      <c r="AE11" s="32" t="s">
        <v>532</v>
      </c>
      <c r="AF11" s="32" t="s">
        <v>533</v>
      </c>
      <c r="AG11" s="32" t="s">
        <v>534</v>
      </c>
      <c r="AH11" s="32" t="s">
        <v>535</v>
      </c>
      <c r="AI11" s="32" t="s">
        <v>536</v>
      </c>
      <c r="AJ11" s="37">
        <v>44612</v>
      </c>
      <c r="AK11" s="38">
        <v>60.11</v>
      </c>
      <c r="AL11" s="38">
        <v>99.95</v>
      </c>
      <c r="AM11" s="32">
        <v>20.329999999999998</v>
      </c>
      <c r="AN11" s="32">
        <v>11</v>
      </c>
      <c r="AO11" s="32">
        <v>1</v>
      </c>
      <c r="AP11" s="32"/>
      <c r="AQ11" s="32" t="s">
        <v>534</v>
      </c>
    </row>
    <row r="12" spans="1:79" x14ac:dyDescent="0.25">
      <c r="A12" s="32" t="s">
        <v>339</v>
      </c>
      <c r="B12" s="32" t="s">
        <v>381</v>
      </c>
      <c r="C12" s="32" t="s">
        <v>521</v>
      </c>
      <c r="D12" s="32" t="s">
        <v>471</v>
      </c>
      <c r="E12" s="32">
        <v>100.50695</v>
      </c>
      <c r="F12" s="32">
        <v>-8.8510000000000005E-2</v>
      </c>
      <c r="G12" s="32" t="s">
        <v>539</v>
      </c>
      <c r="H12" s="32" t="s">
        <v>523</v>
      </c>
      <c r="I12" s="32">
        <v>50</v>
      </c>
      <c r="J12" s="32">
        <v>48</v>
      </c>
      <c r="K12" s="32">
        <v>200</v>
      </c>
      <c r="L12" s="32">
        <v>1</v>
      </c>
      <c r="M12" s="32" t="s">
        <v>524</v>
      </c>
      <c r="N12" s="32" t="s">
        <v>525</v>
      </c>
      <c r="O12" s="32" t="s">
        <v>524</v>
      </c>
      <c r="P12" s="32" t="s">
        <v>526</v>
      </c>
      <c r="Q12" s="32" t="s">
        <v>89</v>
      </c>
      <c r="R12" s="32">
        <v>25</v>
      </c>
      <c r="S12" s="32">
        <v>0.09</v>
      </c>
      <c r="T12" s="32" t="s">
        <v>540</v>
      </c>
      <c r="U12" s="32" t="s">
        <v>527</v>
      </c>
      <c r="V12" s="32">
        <v>3500</v>
      </c>
      <c r="W12" s="32">
        <v>11518</v>
      </c>
      <c r="X12" s="32">
        <v>317</v>
      </c>
      <c r="Y12" s="32" t="s">
        <v>541</v>
      </c>
      <c r="Z12" s="32">
        <v>40000</v>
      </c>
      <c r="AA12" s="32">
        <v>509074</v>
      </c>
      <c r="AB12" s="32" t="s">
        <v>529</v>
      </c>
      <c r="AC12" s="32" t="s">
        <v>530</v>
      </c>
      <c r="AD12" s="32" t="s">
        <v>531</v>
      </c>
      <c r="AE12" s="32" t="s">
        <v>532</v>
      </c>
      <c r="AF12" s="32" t="s">
        <v>533</v>
      </c>
      <c r="AG12" s="32" t="s">
        <v>534</v>
      </c>
      <c r="AH12" s="32" t="s">
        <v>535</v>
      </c>
      <c r="AI12" s="32" t="s">
        <v>536</v>
      </c>
      <c r="AJ12" s="37">
        <v>44612</v>
      </c>
      <c r="AK12" s="38">
        <v>92.31</v>
      </c>
      <c r="AL12" s="38">
        <v>99.95</v>
      </c>
      <c r="AM12" s="32">
        <v>39.17</v>
      </c>
      <c r="AN12" s="32">
        <v>13</v>
      </c>
      <c r="AO12" s="32">
        <v>2</v>
      </c>
      <c r="AP12" s="32"/>
      <c r="AQ12" s="32" t="s">
        <v>534</v>
      </c>
    </row>
    <row r="14" spans="1:79" x14ac:dyDescent="0.25">
      <c r="A14" s="28" t="s">
        <v>3</v>
      </c>
      <c r="B14" s="28" t="s">
        <v>4</v>
      </c>
      <c r="C14" s="28" t="s">
        <v>5</v>
      </c>
      <c r="D14" s="28" t="s">
        <v>6</v>
      </c>
      <c r="E14" s="28" t="s">
        <v>7</v>
      </c>
      <c r="F14" s="28" t="s">
        <v>8</v>
      </c>
      <c r="G14" s="28" t="s">
        <v>9</v>
      </c>
      <c r="H14" s="28" t="s">
        <v>10</v>
      </c>
      <c r="I14" s="28" t="s">
        <v>11</v>
      </c>
      <c r="J14" s="28" t="s">
        <v>12</v>
      </c>
      <c r="K14" s="28" t="s">
        <v>13</v>
      </c>
      <c r="L14" s="39" t="s">
        <v>14</v>
      </c>
      <c r="M14" s="39" t="s">
        <v>15</v>
      </c>
      <c r="N14" s="39" t="s">
        <v>16</v>
      </c>
      <c r="O14" s="28" t="s">
        <v>17</v>
      </c>
      <c r="P14" s="28" t="s">
        <v>18</v>
      </c>
      <c r="Q14" s="28" t="s">
        <v>19</v>
      </c>
      <c r="R14" s="28" t="s">
        <v>20</v>
      </c>
      <c r="S14" s="28" t="s">
        <v>21</v>
      </c>
      <c r="T14" s="28" t="s">
        <v>22</v>
      </c>
      <c r="U14" s="28" t="s">
        <v>23</v>
      </c>
      <c r="V14" s="28" t="s">
        <v>24</v>
      </c>
      <c r="W14" s="28" t="s">
        <v>25</v>
      </c>
      <c r="X14" s="28" t="s">
        <v>26</v>
      </c>
      <c r="Y14" s="28" t="s">
        <v>27</v>
      </c>
      <c r="Z14" s="28" t="s">
        <v>28</v>
      </c>
      <c r="AA14" s="28" t="s">
        <v>29</v>
      </c>
      <c r="AB14" s="28" t="s">
        <v>30</v>
      </c>
      <c r="AC14" s="28" t="s">
        <v>31</v>
      </c>
      <c r="AD14" s="28" t="s">
        <v>32</v>
      </c>
      <c r="AE14" s="28" t="s">
        <v>33</v>
      </c>
      <c r="AF14" s="28" t="s">
        <v>34</v>
      </c>
      <c r="AG14" s="28" t="s">
        <v>35</v>
      </c>
      <c r="AH14" s="40" t="s">
        <v>36</v>
      </c>
      <c r="AI14" s="40" t="s">
        <v>37</v>
      </c>
      <c r="AJ14" s="40" t="s">
        <v>38</v>
      </c>
      <c r="AK14" s="40" t="s">
        <v>39</v>
      </c>
      <c r="AL14" s="40" t="s">
        <v>40</v>
      </c>
      <c r="AM14" s="40" t="s">
        <v>41</v>
      </c>
      <c r="AN14" s="40" t="s">
        <v>42</v>
      </c>
      <c r="AO14" s="40" t="s">
        <v>43</v>
      </c>
      <c r="AP14" s="40" t="s">
        <v>44</v>
      </c>
      <c r="AQ14" s="41" t="s">
        <v>36</v>
      </c>
      <c r="AR14" s="41" t="s">
        <v>45</v>
      </c>
      <c r="AS14" s="41" t="s">
        <v>46</v>
      </c>
      <c r="AT14" s="41" t="s">
        <v>39</v>
      </c>
      <c r="AU14" s="41" t="s">
        <v>40</v>
      </c>
      <c r="AV14" s="41" t="s">
        <v>47</v>
      </c>
      <c r="AW14" s="41" t="s">
        <v>48</v>
      </c>
      <c r="AX14" s="41" t="s">
        <v>42</v>
      </c>
      <c r="AY14" s="41" t="s">
        <v>43</v>
      </c>
      <c r="AZ14" s="41" t="s">
        <v>44</v>
      </c>
      <c r="BA14" s="41" t="s">
        <v>41</v>
      </c>
      <c r="BB14" s="41" t="s">
        <v>49</v>
      </c>
      <c r="BC14" s="41" t="s">
        <v>50</v>
      </c>
      <c r="BD14" s="41" t="s">
        <v>51</v>
      </c>
      <c r="BE14" s="41" t="s">
        <v>52</v>
      </c>
      <c r="BF14" s="41" t="s">
        <v>53</v>
      </c>
      <c r="BG14" s="41" t="s">
        <v>54</v>
      </c>
      <c r="BH14" s="42" t="s">
        <v>55</v>
      </c>
      <c r="BI14" s="42" t="s">
        <v>56</v>
      </c>
      <c r="BJ14" s="42" t="s">
        <v>57</v>
      </c>
      <c r="BK14" s="42" t="s">
        <v>58</v>
      </c>
      <c r="BL14" s="42" t="s">
        <v>59</v>
      </c>
      <c r="BM14" s="42" t="s">
        <v>60</v>
      </c>
      <c r="BN14" s="42" t="s">
        <v>61</v>
      </c>
      <c r="BO14" s="42" t="s">
        <v>62</v>
      </c>
      <c r="BP14" s="42" t="s">
        <v>63</v>
      </c>
      <c r="BQ14" s="42" t="s">
        <v>64</v>
      </c>
      <c r="BR14" s="42" t="s">
        <v>65</v>
      </c>
      <c r="BS14" s="42" t="s">
        <v>66</v>
      </c>
      <c r="BT14" s="42" t="s">
        <v>67</v>
      </c>
      <c r="BU14" s="42" t="s">
        <v>68</v>
      </c>
      <c r="BV14" s="42" t="s">
        <v>69</v>
      </c>
      <c r="BW14" s="42" t="s">
        <v>51</v>
      </c>
      <c r="BX14" s="42" t="s">
        <v>52</v>
      </c>
      <c r="BZ14" s="43" t="s">
        <v>542</v>
      </c>
      <c r="CA14" s="43" t="s">
        <v>361</v>
      </c>
    </row>
    <row r="15" spans="1:79" x14ac:dyDescent="0.25">
      <c r="A15" s="28"/>
      <c r="B15" s="29" t="s">
        <v>543</v>
      </c>
      <c r="C15" s="28" t="s">
        <v>339</v>
      </c>
      <c r="D15" s="28" t="s">
        <v>0</v>
      </c>
      <c r="E15" s="28" t="s">
        <v>394</v>
      </c>
      <c r="F15" s="28" t="s">
        <v>544</v>
      </c>
      <c r="G15" s="28" t="s">
        <v>545</v>
      </c>
      <c r="H15" s="28" t="s">
        <v>545</v>
      </c>
      <c r="I15" s="28" t="s">
        <v>546</v>
      </c>
      <c r="J15" s="28" t="s">
        <v>547</v>
      </c>
      <c r="K15" s="29" t="s">
        <v>548</v>
      </c>
      <c r="L15" s="44">
        <v>104.042631</v>
      </c>
      <c r="M15" s="44">
        <v>1.162787</v>
      </c>
      <c r="N15" s="28" t="s">
        <v>549</v>
      </c>
      <c r="O15" s="28" t="s">
        <v>550</v>
      </c>
      <c r="P15" s="28" t="s">
        <v>551</v>
      </c>
      <c r="Q15" s="46" t="s">
        <v>552</v>
      </c>
      <c r="R15" s="28" t="s">
        <v>553</v>
      </c>
      <c r="S15" s="29">
        <v>133</v>
      </c>
      <c r="T15" s="28" t="s">
        <v>360</v>
      </c>
      <c r="U15" s="28" t="s">
        <v>359</v>
      </c>
      <c r="V15" s="28" t="s">
        <v>554</v>
      </c>
      <c r="W15" s="28" t="s">
        <v>550</v>
      </c>
      <c r="X15" s="28" t="s">
        <v>88</v>
      </c>
      <c r="Y15" s="28" t="s">
        <v>89</v>
      </c>
      <c r="Z15" s="28" t="s">
        <v>555</v>
      </c>
      <c r="AA15" s="45" t="s">
        <v>556</v>
      </c>
      <c r="AB15" s="28" t="s">
        <v>557</v>
      </c>
      <c r="AC15" s="29">
        <v>30</v>
      </c>
      <c r="AD15" s="29" t="s">
        <v>558</v>
      </c>
      <c r="AE15" s="28">
        <v>0</v>
      </c>
      <c r="AF15" s="28">
        <v>4</v>
      </c>
      <c r="AG15" s="28" t="s">
        <v>363</v>
      </c>
      <c r="AH15" s="28">
        <v>11922</v>
      </c>
      <c r="AI15" s="28" t="s">
        <v>449</v>
      </c>
      <c r="AJ15" s="28" t="s">
        <v>358</v>
      </c>
      <c r="AK15" s="28" t="s">
        <v>358</v>
      </c>
      <c r="AL15" s="28" t="s">
        <v>358</v>
      </c>
      <c r="AM15" s="28" t="s">
        <v>358</v>
      </c>
      <c r="AN15" s="28" t="s">
        <v>358</v>
      </c>
      <c r="AO15" s="28" t="s">
        <v>358</v>
      </c>
      <c r="AP15" s="28" t="s">
        <v>358</v>
      </c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</row>
    <row r="16" spans="1:79" x14ac:dyDescent="0.25">
      <c r="A16" s="28"/>
      <c r="B16" s="29" t="s">
        <v>543</v>
      </c>
      <c r="C16" s="28" t="s">
        <v>339</v>
      </c>
      <c r="D16" s="28" t="s">
        <v>243</v>
      </c>
      <c r="E16" s="28" t="s">
        <v>394</v>
      </c>
      <c r="F16" s="28" t="s">
        <v>559</v>
      </c>
      <c r="G16" s="28" t="s">
        <v>545</v>
      </c>
      <c r="H16" s="28" t="s">
        <v>545</v>
      </c>
      <c r="I16" s="28" t="s">
        <v>560</v>
      </c>
      <c r="J16" s="28" t="s">
        <v>561</v>
      </c>
      <c r="K16" s="29" t="s">
        <v>562</v>
      </c>
      <c r="L16" s="44">
        <v>104.042631</v>
      </c>
      <c r="M16" s="44">
        <v>1.162787</v>
      </c>
      <c r="N16" s="28" t="s">
        <v>549</v>
      </c>
      <c r="O16" s="28" t="s">
        <v>550</v>
      </c>
      <c r="P16" s="28" t="s">
        <v>551</v>
      </c>
      <c r="Q16" s="46" t="s">
        <v>552</v>
      </c>
      <c r="R16" s="28" t="s">
        <v>553</v>
      </c>
      <c r="S16" s="29">
        <v>133</v>
      </c>
      <c r="T16" s="28" t="s">
        <v>360</v>
      </c>
      <c r="U16" s="28" t="s">
        <v>359</v>
      </c>
      <c r="V16" s="28" t="s">
        <v>554</v>
      </c>
      <c r="W16" s="28" t="s">
        <v>550</v>
      </c>
      <c r="X16" s="28" t="s">
        <v>88</v>
      </c>
      <c r="Y16" s="28" t="s">
        <v>89</v>
      </c>
      <c r="Z16" s="28" t="s">
        <v>555</v>
      </c>
      <c r="AA16" s="45" t="s">
        <v>556</v>
      </c>
      <c r="AB16" s="28" t="s">
        <v>557</v>
      </c>
      <c r="AC16" s="29">
        <v>30</v>
      </c>
      <c r="AD16" s="29" t="s">
        <v>558</v>
      </c>
      <c r="AE16" s="28">
        <v>0</v>
      </c>
      <c r="AF16" s="28">
        <v>4</v>
      </c>
      <c r="AG16" s="28" t="s">
        <v>363</v>
      </c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>
        <v>55550</v>
      </c>
      <c r="BJ16" s="28" t="s">
        <v>563</v>
      </c>
      <c r="BK16" s="28"/>
      <c r="BL16" s="28"/>
      <c r="BM16" s="28"/>
      <c r="BN16" s="28"/>
      <c r="BO16" s="28"/>
      <c r="BP16" s="28"/>
      <c r="BQ16" s="28" t="s">
        <v>564</v>
      </c>
      <c r="BR16" s="28"/>
      <c r="BS16" s="28"/>
      <c r="BT16" s="28" t="s">
        <v>565</v>
      </c>
      <c r="BU16" s="28"/>
      <c r="BV16" s="28"/>
      <c r="BW16" s="28"/>
      <c r="BX16" s="28"/>
    </row>
  </sheetData>
  <conditionalFormatting sqref="G1:G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2"/>
  <sheetViews>
    <sheetView topLeftCell="BQ1" workbookViewId="0">
      <selection activeCell="BY18" sqref="BY18"/>
    </sheetView>
  </sheetViews>
  <sheetFormatPr defaultRowHeight="15" x14ac:dyDescent="0.25"/>
  <cols>
    <col min="1" max="1" width="9.42578125" customWidth="1"/>
    <col min="2" max="2" width="18.140625" customWidth="1"/>
    <col min="3" max="3" width="15.85546875" customWidth="1"/>
    <col min="4" max="4" width="19.140625" customWidth="1"/>
    <col min="5" max="5" width="22.28515625" customWidth="1"/>
    <col min="6" max="6" width="19.5703125" customWidth="1"/>
    <col min="7" max="7" width="38.85546875" customWidth="1"/>
    <col min="8" max="8" width="36.7109375" customWidth="1"/>
    <col min="9" max="9" width="34.7109375" customWidth="1"/>
    <col min="10" max="10" width="255.7109375" customWidth="1"/>
    <col min="11" max="11" width="24.7109375" customWidth="1"/>
    <col min="12" max="13" width="22.28515625" customWidth="1"/>
    <col min="14" max="16" width="19.5703125" customWidth="1"/>
    <col min="17" max="17" width="21.5703125" customWidth="1"/>
    <col min="18" max="18" width="92.5703125" customWidth="1"/>
    <col min="19" max="19" width="19.5703125" customWidth="1"/>
    <col min="20" max="21" width="22.28515625" customWidth="1"/>
    <col min="22" max="23" width="19.5703125" customWidth="1"/>
    <col min="24" max="25" width="15.85546875" customWidth="1"/>
    <col min="26" max="32" width="19.5703125" customWidth="1"/>
    <col min="33" max="33" width="28.140625" customWidth="1"/>
    <col min="34" max="34" width="19.5703125" customWidth="1"/>
    <col min="35" max="35" width="23.5703125" customWidth="1"/>
    <col min="36" max="40" width="19.5703125" customWidth="1"/>
    <col min="41" max="41" width="43.42578125" customWidth="1"/>
    <col min="42" max="54" width="19.5703125" customWidth="1"/>
    <col min="55" max="55" width="29.42578125" customWidth="1"/>
    <col min="56" max="67" width="19.5703125" customWidth="1"/>
    <col min="68" max="68" width="24.85546875" customWidth="1"/>
    <col min="69" max="76" width="19.5703125" customWidth="1"/>
  </cols>
  <sheetData>
    <row r="1" spans="1:76" x14ac:dyDescent="0.25">
      <c r="AH1" s="20" t="s">
        <v>0</v>
      </c>
      <c r="AI1" s="21"/>
      <c r="AJ1" s="21"/>
      <c r="AK1" s="21"/>
      <c r="AL1" s="21"/>
      <c r="AM1" s="21"/>
      <c r="AN1" s="21"/>
      <c r="AO1" s="21"/>
      <c r="AP1" s="22"/>
      <c r="AQ1" s="23" t="s">
        <v>1</v>
      </c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5" t="s">
        <v>2</v>
      </c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</row>
    <row r="2" spans="1:76" x14ac:dyDescent="0.25">
      <c r="A2" s="14" t="s">
        <v>3</v>
      </c>
      <c r="B2" s="14" t="s">
        <v>4</v>
      </c>
      <c r="C2" s="14" t="s">
        <v>5</v>
      </c>
      <c r="D2" s="2" t="s">
        <v>6</v>
      </c>
      <c r="E2" s="14" t="s">
        <v>7</v>
      </c>
      <c r="F2" s="14" t="s">
        <v>8</v>
      </c>
      <c r="G2" s="14" t="s">
        <v>9</v>
      </c>
      <c r="H2" s="14" t="s">
        <v>10</v>
      </c>
      <c r="I2" s="14" t="s">
        <v>11</v>
      </c>
      <c r="J2" s="14" t="s">
        <v>12</v>
      </c>
      <c r="K2" s="14" t="s">
        <v>13</v>
      </c>
      <c r="L2" s="15" t="s">
        <v>14</v>
      </c>
      <c r="M2" s="15" t="s">
        <v>15</v>
      </c>
      <c r="N2" s="15" t="s">
        <v>16</v>
      </c>
      <c r="O2" s="14" t="s">
        <v>17</v>
      </c>
      <c r="P2" s="14" t="s">
        <v>18</v>
      </c>
      <c r="Q2" s="14" t="s">
        <v>19</v>
      </c>
      <c r="R2" s="14" t="s">
        <v>20</v>
      </c>
      <c r="S2" s="14" t="s">
        <v>21</v>
      </c>
      <c r="T2" s="14" t="s">
        <v>22</v>
      </c>
      <c r="U2" s="14" t="s">
        <v>23</v>
      </c>
      <c r="V2" s="14" t="s">
        <v>24</v>
      </c>
      <c r="W2" s="14" t="s">
        <v>25</v>
      </c>
      <c r="X2" s="14" t="s">
        <v>26</v>
      </c>
      <c r="Y2" s="14" t="s">
        <v>27</v>
      </c>
      <c r="Z2" s="14" t="s">
        <v>28</v>
      </c>
      <c r="AA2" s="14" t="s">
        <v>29</v>
      </c>
      <c r="AB2" s="14" t="s">
        <v>30</v>
      </c>
      <c r="AC2" s="14" t="s">
        <v>31</v>
      </c>
      <c r="AD2" s="14" t="s">
        <v>32</v>
      </c>
      <c r="AE2" s="14" t="s">
        <v>33</v>
      </c>
      <c r="AF2" s="14" t="s">
        <v>34</v>
      </c>
      <c r="AG2" s="14" t="s">
        <v>35</v>
      </c>
      <c r="AH2" s="16" t="s">
        <v>36</v>
      </c>
      <c r="AI2" s="16" t="s">
        <v>37</v>
      </c>
      <c r="AJ2" s="16" t="s">
        <v>38</v>
      </c>
      <c r="AK2" s="16" t="s">
        <v>39</v>
      </c>
      <c r="AL2" s="16" t="s">
        <v>40</v>
      </c>
      <c r="AM2" s="16" t="s">
        <v>41</v>
      </c>
      <c r="AN2" s="16" t="s">
        <v>42</v>
      </c>
      <c r="AO2" s="16" t="s">
        <v>43</v>
      </c>
      <c r="AP2" s="16" t="s">
        <v>44</v>
      </c>
      <c r="AQ2" s="17" t="s">
        <v>36</v>
      </c>
      <c r="AR2" s="17" t="s">
        <v>45</v>
      </c>
      <c r="AS2" s="17" t="s">
        <v>46</v>
      </c>
      <c r="AT2" s="17" t="s">
        <v>39</v>
      </c>
      <c r="AU2" s="17" t="s">
        <v>40</v>
      </c>
      <c r="AV2" s="17" t="s">
        <v>47</v>
      </c>
      <c r="AW2" s="17" t="s">
        <v>48</v>
      </c>
      <c r="AX2" s="17" t="s">
        <v>42</v>
      </c>
      <c r="AY2" s="17" t="s">
        <v>43</v>
      </c>
      <c r="AZ2" s="17" t="s">
        <v>44</v>
      </c>
      <c r="BA2" s="17" t="s">
        <v>41</v>
      </c>
      <c r="BB2" s="17" t="s">
        <v>49</v>
      </c>
      <c r="BC2" s="17" t="s">
        <v>50</v>
      </c>
      <c r="BD2" s="17" t="s">
        <v>51</v>
      </c>
      <c r="BE2" s="17" t="s">
        <v>52</v>
      </c>
      <c r="BF2" s="17" t="s">
        <v>53</v>
      </c>
      <c r="BG2" s="17" t="s">
        <v>54</v>
      </c>
      <c r="BH2" s="18" t="s">
        <v>55</v>
      </c>
      <c r="BI2" s="18" t="s">
        <v>56</v>
      </c>
      <c r="BJ2" s="18" t="s">
        <v>57</v>
      </c>
      <c r="BK2" s="18" t="s">
        <v>58</v>
      </c>
      <c r="BL2" s="18" t="s">
        <v>59</v>
      </c>
      <c r="BM2" s="18" t="s">
        <v>60</v>
      </c>
      <c r="BN2" s="18" t="s">
        <v>61</v>
      </c>
      <c r="BO2" s="18" t="s">
        <v>62</v>
      </c>
      <c r="BP2" s="18" t="s">
        <v>63</v>
      </c>
      <c r="BQ2" s="18" t="s">
        <v>64</v>
      </c>
      <c r="BR2" s="18" t="s">
        <v>65</v>
      </c>
      <c r="BS2" s="18" t="s">
        <v>66</v>
      </c>
      <c r="BT2" s="18" t="s">
        <v>67</v>
      </c>
      <c r="BU2" s="18" t="s">
        <v>68</v>
      </c>
      <c r="BV2" s="18" t="s">
        <v>69</v>
      </c>
      <c r="BW2" s="18" t="s">
        <v>51</v>
      </c>
      <c r="BX2" s="18" t="s">
        <v>52</v>
      </c>
    </row>
    <row r="3" spans="1:76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4" spans="1:76" x14ac:dyDescent="0.25">
      <c r="A4" s="26" t="s">
        <v>72</v>
      </c>
      <c r="B4" s="27"/>
      <c r="C4" s="19"/>
      <c r="D4" s="2"/>
      <c r="E4" s="5"/>
      <c r="F4" s="5"/>
      <c r="G4" s="5"/>
      <c r="H4" s="5"/>
      <c r="I4" s="5"/>
      <c r="J4" s="5"/>
      <c r="K4" s="5"/>
      <c r="L4" s="6"/>
      <c r="M4" s="6"/>
      <c r="N4" s="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</row>
    <row r="5" spans="1:76" x14ac:dyDescent="0.25">
      <c r="A5" s="2"/>
      <c r="B5" s="2"/>
      <c r="C5" s="2" t="s">
        <v>73</v>
      </c>
      <c r="D5" s="2" t="s">
        <v>0</v>
      </c>
      <c r="E5" s="2" t="s">
        <v>74</v>
      </c>
      <c r="F5" s="2" t="s">
        <v>75</v>
      </c>
      <c r="G5" s="2" t="s">
        <v>76</v>
      </c>
      <c r="H5" s="2" t="s">
        <v>77</v>
      </c>
      <c r="I5" s="7">
        <v>51243</v>
      </c>
      <c r="J5" s="2" t="s">
        <v>78</v>
      </c>
      <c r="K5" s="2" t="s">
        <v>79</v>
      </c>
      <c r="L5" s="2">
        <v>107.49353000000001</v>
      </c>
      <c r="M5" s="2">
        <v>-7.0681200000000004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84</v>
      </c>
      <c r="S5" s="2">
        <v>311</v>
      </c>
      <c r="T5" s="2" t="s">
        <v>85</v>
      </c>
      <c r="U5" s="2" t="s">
        <v>86</v>
      </c>
      <c r="V5" s="2" t="s">
        <v>81</v>
      </c>
      <c r="W5" s="2" t="s">
        <v>87</v>
      </c>
      <c r="X5" s="2" t="s">
        <v>88</v>
      </c>
      <c r="Y5" s="2" t="s">
        <v>89</v>
      </c>
      <c r="Z5" s="2" t="s">
        <v>90</v>
      </c>
      <c r="AA5" s="2" t="s">
        <v>91</v>
      </c>
      <c r="AB5" s="2" t="s">
        <v>92</v>
      </c>
      <c r="AC5" s="2">
        <v>72</v>
      </c>
      <c r="AD5" s="2" t="s">
        <v>93</v>
      </c>
      <c r="AE5" s="2" t="s">
        <v>94</v>
      </c>
      <c r="AF5" s="2" t="s">
        <v>95</v>
      </c>
      <c r="AG5" s="2" t="s">
        <v>70</v>
      </c>
      <c r="AH5" s="2">
        <v>14271</v>
      </c>
      <c r="AI5" s="2" t="s">
        <v>96</v>
      </c>
      <c r="AJ5" s="2">
        <v>2429</v>
      </c>
      <c r="AK5" s="2">
        <v>3</v>
      </c>
      <c r="AL5" s="2">
        <v>14271</v>
      </c>
      <c r="AM5" s="2">
        <v>2433</v>
      </c>
      <c r="AN5" s="2">
        <v>1</v>
      </c>
      <c r="AO5" s="2" t="s">
        <v>97</v>
      </c>
      <c r="AP5" s="8" t="s">
        <v>98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7"/>
      <c r="BI5" s="7"/>
      <c r="BJ5" s="7"/>
      <c r="BK5" s="9"/>
      <c r="BL5" s="7"/>
      <c r="BM5" s="9"/>
      <c r="BN5" s="7"/>
      <c r="BO5" s="7"/>
      <c r="BP5" s="7"/>
      <c r="BQ5" s="7"/>
      <c r="BR5" s="7"/>
      <c r="BS5" s="7"/>
      <c r="BT5" s="9"/>
      <c r="BU5" s="9"/>
      <c r="BV5" s="9"/>
      <c r="BW5" s="9"/>
      <c r="BX5" s="9"/>
    </row>
    <row r="6" spans="1:76" x14ac:dyDescent="0.25">
      <c r="A6" s="2"/>
      <c r="B6" s="2"/>
      <c r="C6" s="2" t="s">
        <v>73</v>
      </c>
      <c r="D6" s="2" t="s">
        <v>0</v>
      </c>
      <c r="E6" s="2" t="s">
        <v>99</v>
      </c>
      <c r="F6" s="2" t="s">
        <v>100</v>
      </c>
      <c r="G6" s="2" t="s">
        <v>101</v>
      </c>
      <c r="H6" s="2" t="s">
        <v>102</v>
      </c>
      <c r="I6" s="7" t="s">
        <v>103</v>
      </c>
      <c r="J6" s="2" t="s">
        <v>104</v>
      </c>
      <c r="K6" s="2" t="s">
        <v>79</v>
      </c>
      <c r="L6" s="2">
        <v>107.64604</v>
      </c>
      <c r="M6" s="2">
        <v>-7.0194000000000001</v>
      </c>
      <c r="N6" s="2" t="s">
        <v>80</v>
      </c>
      <c r="O6" s="2" t="s">
        <v>81</v>
      </c>
      <c r="P6" s="2" t="s">
        <v>105</v>
      </c>
      <c r="Q6" s="2" t="s">
        <v>106</v>
      </c>
      <c r="R6" s="2" t="s">
        <v>107</v>
      </c>
      <c r="S6" s="2">
        <v>311</v>
      </c>
      <c r="T6" s="2" t="s">
        <v>85</v>
      </c>
      <c r="U6" s="2" t="s">
        <v>86</v>
      </c>
      <c r="V6" s="2" t="s">
        <v>81</v>
      </c>
      <c r="W6" s="2" t="s">
        <v>87</v>
      </c>
      <c r="X6" s="2" t="s">
        <v>88</v>
      </c>
      <c r="Y6" s="2" t="s">
        <v>89</v>
      </c>
      <c r="Z6" s="2" t="s">
        <v>90</v>
      </c>
      <c r="AA6" s="2" t="s">
        <v>91</v>
      </c>
      <c r="AB6" s="2" t="s">
        <v>92</v>
      </c>
      <c r="AC6" s="2">
        <v>35</v>
      </c>
      <c r="AD6" s="2" t="s">
        <v>108</v>
      </c>
      <c r="AE6" s="2" t="s">
        <v>94</v>
      </c>
      <c r="AF6" s="2" t="s">
        <v>95</v>
      </c>
      <c r="AG6" s="2" t="s">
        <v>109</v>
      </c>
      <c r="AH6" s="2">
        <v>14264</v>
      </c>
      <c r="AI6" s="2" t="s">
        <v>110</v>
      </c>
      <c r="AJ6" s="2">
        <v>2430</v>
      </c>
      <c r="AK6" s="2">
        <v>7</v>
      </c>
      <c r="AL6" s="2">
        <v>14264</v>
      </c>
      <c r="AM6" s="2">
        <v>2433</v>
      </c>
      <c r="AN6" s="2">
        <v>1</v>
      </c>
      <c r="AO6" s="2" t="s">
        <v>97</v>
      </c>
      <c r="AP6" s="8" t="s">
        <v>98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7"/>
      <c r="BI6" s="7"/>
      <c r="BJ6" s="7"/>
      <c r="BK6" s="9"/>
      <c r="BL6" s="7"/>
      <c r="BM6" s="9"/>
      <c r="BN6" s="7"/>
      <c r="BO6" s="7"/>
      <c r="BP6" s="7"/>
      <c r="BQ6" s="7"/>
      <c r="BR6" s="7"/>
      <c r="BS6" s="7"/>
      <c r="BT6" s="9"/>
      <c r="BU6" s="9"/>
      <c r="BV6" s="9"/>
      <c r="BW6" s="9"/>
      <c r="BX6" s="9"/>
    </row>
    <row r="7" spans="1:76" x14ac:dyDescent="0.25">
      <c r="A7" s="2"/>
      <c r="B7" s="2"/>
      <c r="C7" s="2" t="s">
        <v>73</v>
      </c>
      <c r="D7" s="2" t="s">
        <v>0</v>
      </c>
      <c r="E7" s="2" t="s">
        <v>111</v>
      </c>
      <c r="F7" s="2" t="s">
        <v>112</v>
      </c>
      <c r="G7" s="2" t="s">
        <v>113</v>
      </c>
      <c r="H7" s="2" t="s">
        <v>114</v>
      </c>
      <c r="I7" s="7" t="s">
        <v>115</v>
      </c>
      <c r="J7" s="2" t="s">
        <v>116</v>
      </c>
      <c r="K7" s="2" t="s">
        <v>79</v>
      </c>
      <c r="L7" s="2">
        <v>107.06565999999999</v>
      </c>
      <c r="M7" s="2">
        <v>-6.7329100000000004</v>
      </c>
      <c r="N7" s="2" t="s">
        <v>80</v>
      </c>
      <c r="O7" s="2" t="s">
        <v>117</v>
      </c>
      <c r="P7" s="2" t="s">
        <v>118</v>
      </c>
      <c r="Q7" s="2" t="s">
        <v>119</v>
      </c>
      <c r="R7" s="2" t="s">
        <v>120</v>
      </c>
      <c r="S7" s="2">
        <v>311</v>
      </c>
      <c r="T7" s="2" t="s">
        <v>85</v>
      </c>
      <c r="U7" s="2" t="s">
        <v>86</v>
      </c>
      <c r="V7" s="2" t="s">
        <v>81</v>
      </c>
      <c r="W7" s="2" t="s">
        <v>87</v>
      </c>
      <c r="X7" s="2" t="s">
        <v>88</v>
      </c>
      <c r="Y7" s="2" t="s">
        <v>89</v>
      </c>
      <c r="Z7" s="2" t="s">
        <v>90</v>
      </c>
      <c r="AA7" s="2" t="s">
        <v>91</v>
      </c>
      <c r="AB7" s="2" t="s">
        <v>121</v>
      </c>
      <c r="AC7" s="2">
        <v>61</v>
      </c>
      <c r="AD7" s="2">
        <v>90</v>
      </c>
      <c r="AE7" s="2" t="s">
        <v>94</v>
      </c>
      <c r="AF7" s="2" t="s">
        <v>95</v>
      </c>
      <c r="AG7" s="2" t="s">
        <v>109</v>
      </c>
      <c r="AH7" s="2">
        <v>14161</v>
      </c>
      <c r="AI7" s="2" t="s">
        <v>122</v>
      </c>
      <c r="AJ7" s="2">
        <v>2413</v>
      </c>
      <c r="AK7" s="2">
        <v>6</v>
      </c>
      <c r="AL7" s="2">
        <v>14161</v>
      </c>
      <c r="AM7" s="2">
        <v>2433</v>
      </c>
      <c r="AN7" s="2">
        <v>1</v>
      </c>
      <c r="AO7" s="2" t="s">
        <v>123</v>
      </c>
      <c r="AP7" s="8" t="s">
        <v>98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7"/>
      <c r="BI7" s="7"/>
      <c r="BJ7" s="7"/>
      <c r="BK7" s="9"/>
      <c r="BL7" s="7"/>
      <c r="BM7" s="9"/>
      <c r="BN7" s="7"/>
      <c r="BO7" s="7"/>
      <c r="BP7" s="7"/>
      <c r="BQ7" s="7"/>
      <c r="BR7" s="7"/>
      <c r="BS7" s="7"/>
      <c r="BT7" s="9"/>
      <c r="BU7" s="9"/>
      <c r="BV7" s="9"/>
      <c r="BW7" s="9"/>
      <c r="BX7" s="9"/>
    </row>
    <row r="8" spans="1:76" x14ac:dyDescent="0.25">
      <c r="A8" s="2"/>
      <c r="B8" s="2"/>
      <c r="C8" s="2" t="s">
        <v>73</v>
      </c>
      <c r="D8" s="2" t="s">
        <v>0</v>
      </c>
      <c r="E8" s="2" t="s">
        <v>124</v>
      </c>
      <c r="F8" s="2" t="s">
        <v>125</v>
      </c>
      <c r="G8" s="2" t="s">
        <v>126</v>
      </c>
      <c r="H8" s="2" t="s">
        <v>127</v>
      </c>
      <c r="I8" s="7">
        <v>41087</v>
      </c>
      <c r="J8" s="2" t="s">
        <v>128</v>
      </c>
      <c r="K8" s="2" t="s">
        <v>79</v>
      </c>
      <c r="L8" s="2">
        <v>107.73578999999999</v>
      </c>
      <c r="M8" s="2">
        <v>-7.6072600000000001</v>
      </c>
      <c r="N8" s="2" t="s">
        <v>80</v>
      </c>
      <c r="O8" s="2" t="s">
        <v>129</v>
      </c>
      <c r="P8" s="2" t="s">
        <v>130</v>
      </c>
      <c r="Q8" s="2" t="s">
        <v>131</v>
      </c>
      <c r="R8" s="2" t="s">
        <v>132</v>
      </c>
      <c r="S8" s="2">
        <v>313</v>
      </c>
      <c r="T8" s="2" t="s">
        <v>85</v>
      </c>
      <c r="U8" s="2" t="s">
        <v>86</v>
      </c>
      <c r="V8" s="2" t="s">
        <v>133</v>
      </c>
      <c r="W8" s="2" t="s">
        <v>129</v>
      </c>
      <c r="X8" s="2" t="s">
        <v>88</v>
      </c>
      <c r="Y8" s="2" t="s">
        <v>89</v>
      </c>
      <c r="Z8" s="2" t="s">
        <v>90</v>
      </c>
      <c r="AA8" s="2" t="s">
        <v>91</v>
      </c>
      <c r="AB8" s="2" t="s">
        <v>121</v>
      </c>
      <c r="AC8" s="2">
        <v>52</v>
      </c>
      <c r="AD8" s="2">
        <v>10</v>
      </c>
      <c r="AE8" s="2" t="s">
        <v>94</v>
      </c>
      <c r="AF8" s="2" t="s">
        <v>95</v>
      </c>
      <c r="AG8" s="2" t="s">
        <v>70</v>
      </c>
      <c r="AH8" s="2">
        <v>14175</v>
      </c>
      <c r="AI8" s="2" t="s">
        <v>134</v>
      </c>
      <c r="AJ8" s="2">
        <v>2414</v>
      </c>
      <c r="AK8" s="2">
        <v>1</v>
      </c>
      <c r="AL8" s="2">
        <v>14175</v>
      </c>
      <c r="AM8" s="2">
        <v>2433</v>
      </c>
      <c r="AN8" s="2">
        <v>1</v>
      </c>
      <c r="AO8" s="2" t="s">
        <v>123</v>
      </c>
      <c r="AP8" s="8" t="s">
        <v>98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7"/>
      <c r="BI8" s="7"/>
      <c r="BJ8" s="7"/>
      <c r="BK8" s="9"/>
      <c r="BL8" s="7"/>
      <c r="BM8" s="9"/>
      <c r="BN8" s="7"/>
      <c r="BO8" s="7"/>
      <c r="BP8" s="7"/>
      <c r="BQ8" s="7"/>
      <c r="BR8" s="7"/>
      <c r="BS8" s="7"/>
      <c r="BT8" s="9"/>
      <c r="BU8" s="9"/>
      <c r="BV8" s="9"/>
      <c r="BW8" s="9"/>
      <c r="BX8" s="9"/>
    </row>
    <row r="9" spans="1:76" x14ac:dyDescent="0.25">
      <c r="A9" s="2"/>
      <c r="B9" s="2"/>
      <c r="C9" s="2" t="s">
        <v>73</v>
      </c>
      <c r="D9" s="2" t="s">
        <v>0</v>
      </c>
      <c r="E9" s="2" t="s">
        <v>135</v>
      </c>
      <c r="F9" s="2" t="s">
        <v>136</v>
      </c>
      <c r="G9" s="2" t="s">
        <v>137</v>
      </c>
      <c r="H9" s="2" t="s">
        <v>138</v>
      </c>
      <c r="I9" s="7">
        <v>41173</v>
      </c>
      <c r="J9" s="2" t="s">
        <v>139</v>
      </c>
      <c r="K9" s="2" t="s">
        <v>79</v>
      </c>
      <c r="L9" s="2">
        <v>107.78814</v>
      </c>
      <c r="M9" s="2">
        <v>-7.56053</v>
      </c>
      <c r="N9" s="2" t="s">
        <v>80</v>
      </c>
      <c r="O9" s="2" t="s">
        <v>129</v>
      </c>
      <c r="P9" s="2" t="s">
        <v>140</v>
      </c>
      <c r="Q9" s="2" t="s">
        <v>141</v>
      </c>
      <c r="R9" s="2" t="s">
        <v>142</v>
      </c>
      <c r="S9" s="2">
        <v>313</v>
      </c>
      <c r="T9" s="2" t="s">
        <v>85</v>
      </c>
      <c r="U9" s="2" t="s">
        <v>86</v>
      </c>
      <c r="V9" s="2" t="s">
        <v>133</v>
      </c>
      <c r="W9" s="2" t="s">
        <v>129</v>
      </c>
      <c r="X9" s="2" t="s">
        <v>88</v>
      </c>
      <c r="Y9" s="2" t="s">
        <v>89</v>
      </c>
      <c r="Z9" s="2" t="s">
        <v>90</v>
      </c>
      <c r="AA9" s="2" t="s">
        <v>91</v>
      </c>
      <c r="AB9" s="2" t="s">
        <v>92</v>
      </c>
      <c r="AC9" s="2">
        <v>42</v>
      </c>
      <c r="AD9" s="2" t="s">
        <v>143</v>
      </c>
      <c r="AE9" s="2" t="s">
        <v>94</v>
      </c>
      <c r="AF9" s="2" t="s">
        <v>95</v>
      </c>
      <c r="AG9" s="2" t="s">
        <v>70</v>
      </c>
      <c r="AH9" s="2">
        <v>14175</v>
      </c>
      <c r="AI9" s="2" t="s">
        <v>134</v>
      </c>
      <c r="AJ9" s="2">
        <v>2414</v>
      </c>
      <c r="AK9" s="2">
        <v>1</v>
      </c>
      <c r="AL9" s="2">
        <v>14175</v>
      </c>
      <c r="AM9" s="2">
        <v>2433</v>
      </c>
      <c r="AN9" s="2">
        <v>1</v>
      </c>
      <c r="AO9" s="2" t="s">
        <v>123</v>
      </c>
      <c r="AP9" s="8" t="s">
        <v>98</v>
      </c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7"/>
      <c r="BI9" s="7"/>
      <c r="BJ9" s="7"/>
      <c r="BK9" s="9"/>
      <c r="BL9" s="7"/>
      <c r="BM9" s="9"/>
      <c r="BN9" s="7"/>
      <c r="BO9" s="7"/>
      <c r="BP9" s="7"/>
      <c r="BQ9" s="7"/>
      <c r="BR9" s="7"/>
      <c r="BS9" s="7"/>
      <c r="BT9" s="9"/>
      <c r="BU9" s="9"/>
      <c r="BV9" s="9"/>
      <c r="BW9" s="9"/>
      <c r="BX9" s="9"/>
    </row>
    <row r="10" spans="1:76" x14ac:dyDescent="0.25">
      <c r="A10" s="2"/>
      <c r="B10" s="2"/>
      <c r="C10" s="2" t="s">
        <v>73</v>
      </c>
      <c r="D10" s="2" t="s">
        <v>0</v>
      </c>
      <c r="E10" s="2" t="s">
        <v>144</v>
      </c>
      <c r="F10" s="2" t="s">
        <v>145</v>
      </c>
      <c r="G10" s="2" t="s">
        <v>146</v>
      </c>
      <c r="H10" s="2" t="s">
        <v>147</v>
      </c>
      <c r="I10" s="7" t="s">
        <v>148</v>
      </c>
      <c r="J10" s="2" t="s">
        <v>149</v>
      </c>
      <c r="K10" s="2" t="s">
        <v>79</v>
      </c>
      <c r="L10" s="2">
        <v>107.76667</v>
      </c>
      <c r="M10" s="2">
        <v>-7.5774299999999997</v>
      </c>
      <c r="N10" s="2" t="s">
        <v>80</v>
      </c>
      <c r="O10" s="2" t="s">
        <v>129</v>
      </c>
      <c r="P10" s="2" t="s">
        <v>140</v>
      </c>
      <c r="Q10" s="2" t="s">
        <v>150</v>
      </c>
      <c r="R10" s="2" t="s">
        <v>151</v>
      </c>
      <c r="S10" s="2">
        <v>313</v>
      </c>
      <c r="T10" s="2" t="s">
        <v>85</v>
      </c>
      <c r="U10" s="2" t="s">
        <v>86</v>
      </c>
      <c r="V10" s="2" t="s">
        <v>133</v>
      </c>
      <c r="W10" s="2" t="s">
        <v>129</v>
      </c>
      <c r="X10" s="2" t="s">
        <v>88</v>
      </c>
      <c r="Y10" s="2" t="s">
        <v>89</v>
      </c>
      <c r="Z10" s="2" t="s">
        <v>90</v>
      </c>
      <c r="AA10" s="2" t="s">
        <v>91</v>
      </c>
      <c r="AB10" s="2" t="s">
        <v>121</v>
      </c>
      <c r="AC10" s="2">
        <v>62</v>
      </c>
      <c r="AD10" s="2" t="s">
        <v>152</v>
      </c>
      <c r="AE10" s="2" t="s">
        <v>94</v>
      </c>
      <c r="AF10" s="2" t="s">
        <v>95</v>
      </c>
      <c r="AG10" s="2" t="s">
        <v>153</v>
      </c>
      <c r="AH10" s="2">
        <v>14175</v>
      </c>
      <c r="AI10" s="2" t="s">
        <v>134</v>
      </c>
      <c r="AJ10" s="2">
        <v>2414</v>
      </c>
      <c r="AK10" s="2">
        <v>1</v>
      </c>
      <c r="AL10" s="2">
        <v>14175</v>
      </c>
      <c r="AM10" s="2">
        <v>2433</v>
      </c>
      <c r="AN10" s="2">
        <v>1</v>
      </c>
      <c r="AO10" s="2" t="s">
        <v>123</v>
      </c>
      <c r="AP10" s="8" t="s">
        <v>98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7"/>
      <c r="BI10" s="7"/>
      <c r="BJ10" s="7"/>
      <c r="BK10" s="9"/>
      <c r="BL10" s="7"/>
      <c r="BM10" s="9"/>
      <c r="BN10" s="7"/>
      <c r="BO10" s="7"/>
      <c r="BP10" s="7"/>
      <c r="BQ10" s="7"/>
      <c r="BR10" s="7"/>
      <c r="BS10" s="7"/>
      <c r="BT10" s="9"/>
      <c r="BU10" s="9"/>
      <c r="BV10" s="9"/>
      <c r="BW10" s="9"/>
      <c r="BX10" s="9"/>
    </row>
    <row r="11" spans="1:76" x14ac:dyDescent="0.25">
      <c r="A11" s="2"/>
      <c r="B11" s="2"/>
      <c r="C11" s="2" t="s">
        <v>73</v>
      </c>
      <c r="D11" s="2" t="s">
        <v>0</v>
      </c>
      <c r="E11" s="2" t="s">
        <v>154</v>
      </c>
      <c r="F11" s="2" t="s">
        <v>155</v>
      </c>
      <c r="G11" s="2" t="s">
        <v>156</v>
      </c>
      <c r="H11" s="2" t="s">
        <v>157</v>
      </c>
      <c r="I11" s="7" t="s">
        <v>158</v>
      </c>
      <c r="J11" s="2" t="s">
        <v>159</v>
      </c>
      <c r="K11" s="2" t="s">
        <v>79</v>
      </c>
      <c r="L11" s="2">
        <v>108.31408999999999</v>
      </c>
      <c r="M11" s="2">
        <v>-6.9008799999999999</v>
      </c>
      <c r="N11" s="2" t="s">
        <v>80</v>
      </c>
      <c r="O11" s="2" t="s">
        <v>160</v>
      </c>
      <c r="P11" s="2" t="s">
        <v>161</v>
      </c>
      <c r="Q11" s="2" t="s">
        <v>162</v>
      </c>
      <c r="R11" s="2" t="s">
        <v>163</v>
      </c>
      <c r="S11" s="2">
        <v>312</v>
      </c>
      <c r="T11" s="2" t="s">
        <v>85</v>
      </c>
      <c r="U11" s="2" t="s">
        <v>86</v>
      </c>
      <c r="V11" s="2" t="s">
        <v>164</v>
      </c>
      <c r="W11" s="2" t="s">
        <v>165</v>
      </c>
      <c r="X11" s="2" t="s">
        <v>88</v>
      </c>
      <c r="Y11" s="2" t="s">
        <v>89</v>
      </c>
      <c r="Z11" s="2" t="s">
        <v>90</v>
      </c>
      <c r="AA11" s="2" t="s">
        <v>91</v>
      </c>
      <c r="AB11" s="2" t="s">
        <v>121</v>
      </c>
      <c r="AC11" s="2">
        <v>50</v>
      </c>
      <c r="AD11" s="2">
        <v>180</v>
      </c>
      <c r="AE11" s="2" t="s">
        <v>94</v>
      </c>
      <c r="AF11" s="2" t="s">
        <v>95</v>
      </c>
      <c r="AG11" s="2" t="s">
        <v>153</v>
      </c>
      <c r="AH11" s="2">
        <v>14288</v>
      </c>
      <c r="AI11" s="2" t="s">
        <v>166</v>
      </c>
      <c r="AJ11" s="2">
        <v>2433</v>
      </c>
      <c r="AK11" s="2">
        <v>1</v>
      </c>
      <c r="AL11" s="2">
        <v>14288</v>
      </c>
      <c r="AM11" s="2">
        <v>2433</v>
      </c>
      <c r="AN11" s="2">
        <v>1</v>
      </c>
      <c r="AO11" s="2" t="s">
        <v>167</v>
      </c>
      <c r="AP11" s="8" t="s">
        <v>98</v>
      </c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7"/>
      <c r="BI11" s="7"/>
      <c r="BJ11" s="7"/>
      <c r="BK11" s="9"/>
      <c r="BL11" s="7"/>
      <c r="BM11" s="9"/>
      <c r="BN11" s="7"/>
      <c r="BO11" s="7"/>
      <c r="BP11" s="7"/>
      <c r="BQ11" s="7"/>
      <c r="BR11" s="7"/>
      <c r="BS11" s="7"/>
      <c r="BT11" s="9"/>
      <c r="BU11" s="9"/>
      <c r="BV11" s="9"/>
      <c r="BW11" s="9"/>
      <c r="BX11" s="9"/>
    </row>
    <row r="12" spans="1:76" x14ac:dyDescent="0.25">
      <c r="A12" s="2"/>
      <c r="B12" s="2"/>
      <c r="C12" s="2" t="s">
        <v>73</v>
      </c>
      <c r="D12" s="2" t="s">
        <v>0</v>
      </c>
      <c r="E12" s="2" t="s">
        <v>168</v>
      </c>
      <c r="F12" s="2" t="s">
        <v>169</v>
      </c>
      <c r="G12" s="2" t="s">
        <v>170</v>
      </c>
      <c r="H12" s="2" t="s">
        <v>171</v>
      </c>
      <c r="I12" s="7" t="s">
        <v>172</v>
      </c>
      <c r="J12" s="2" t="s">
        <v>173</v>
      </c>
      <c r="K12" s="2" t="s">
        <v>79</v>
      </c>
      <c r="L12" s="2">
        <v>107.77800000000001</v>
      </c>
      <c r="M12" s="2">
        <v>-6.5530999999999997</v>
      </c>
      <c r="N12" s="2" t="s">
        <v>80</v>
      </c>
      <c r="O12" s="2" t="s">
        <v>174</v>
      </c>
      <c r="P12" s="2" t="s">
        <v>175</v>
      </c>
      <c r="Q12" s="2" t="s">
        <v>176</v>
      </c>
      <c r="R12" s="2" t="s">
        <v>177</v>
      </c>
      <c r="S12" s="2">
        <v>311</v>
      </c>
      <c r="T12" s="2" t="s">
        <v>85</v>
      </c>
      <c r="U12" s="2" t="s">
        <v>86</v>
      </c>
      <c r="V12" s="2" t="s">
        <v>164</v>
      </c>
      <c r="W12" s="2" t="s">
        <v>174</v>
      </c>
      <c r="X12" s="2" t="s">
        <v>88</v>
      </c>
      <c r="Y12" s="2" t="s">
        <v>89</v>
      </c>
      <c r="Z12" s="2" t="s">
        <v>90</v>
      </c>
      <c r="AA12" s="2" t="s">
        <v>91</v>
      </c>
      <c r="AB12" s="2" t="s">
        <v>121</v>
      </c>
      <c r="AC12" s="2">
        <v>30</v>
      </c>
      <c r="AD12" s="2">
        <v>305</v>
      </c>
      <c r="AE12" s="2" t="s">
        <v>94</v>
      </c>
      <c r="AF12" s="2" t="s">
        <v>95</v>
      </c>
      <c r="AG12" s="2" t="s">
        <v>178</v>
      </c>
      <c r="AH12" s="2">
        <v>14286</v>
      </c>
      <c r="AI12" s="2" t="s">
        <v>179</v>
      </c>
      <c r="AJ12" s="2">
        <v>2420</v>
      </c>
      <c r="AK12" s="2">
        <v>4</v>
      </c>
      <c r="AL12" s="2">
        <v>14286</v>
      </c>
      <c r="AM12" s="2">
        <v>2433</v>
      </c>
      <c r="AN12" s="2">
        <v>1</v>
      </c>
      <c r="AO12" s="2" t="s">
        <v>180</v>
      </c>
      <c r="AP12" s="8" t="s">
        <v>98</v>
      </c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  <row r="13" spans="1:76" x14ac:dyDescent="0.25">
      <c r="A13" s="2"/>
      <c r="B13" s="2"/>
      <c r="C13" s="2" t="s">
        <v>73</v>
      </c>
      <c r="D13" s="2" t="s">
        <v>0</v>
      </c>
      <c r="E13" s="2" t="s">
        <v>181</v>
      </c>
      <c r="F13" s="2" t="s">
        <v>182</v>
      </c>
      <c r="G13" s="2" t="s">
        <v>183</v>
      </c>
      <c r="H13" s="2" t="s">
        <v>184</v>
      </c>
      <c r="I13" s="7">
        <v>45278</v>
      </c>
      <c r="J13" s="2" t="s">
        <v>185</v>
      </c>
      <c r="K13" s="2" t="s">
        <v>79</v>
      </c>
      <c r="L13" s="2">
        <v>107.648</v>
      </c>
      <c r="M13" s="2">
        <v>-6.7315899999999997</v>
      </c>
      <c r="N13" s="2" t="s">
        <v>80</v>
      </c>
      <c r="O13" s="2" t="s">
        <v>174</v>
      </c>
      <c r="P13" s="2" t="s">
        <v>186</v>
      </c>
      <c r="Q13" s="2" t="s">
        <v>186</v>
      </c>
      <c r="R13" s="2" t="s">
        <v>187</v>
      </c>
      <c r="S13" s="2">
        <v>311</v>
      </c>
      <c r="T13" s="2" t="s">
        <v>85</v>
      </c>
      <c r="U13" s="2" t="s">
        <v>86</v>
      </c>
      <c r="V13" s="2" t="s">
        <v>164</v>
      </c>
      <c r="W13" s="2" t="s">
        <v>174</v>
      </c>
      <c r="X13" s="2" t="s">
        <v>88</v>
      </c>
      <c r="Y13" s="2" t="s">
        <v>89</v>
      </c>
      <c r="Z13" s="2" t="s">
        <v>90</v>
      </c>
      <c r="AA13" s="2" t="s">
        <v>91</v>
      </c>
      <c r="AB13" s="2" t="s">
        <v>121</v>
      </c>
      <c r="AC13" s="2">
        <v>40</v>
      </c>
      <c r="AD13" s="2">
        <v>180</v>
      </c>
      <c r="AE13" s="2" t="s">
        <v>94</v>
      </c>
      <c r="AF13" s="2" t="s">
        <v>95</v>
      </c>
      <c r="AG13" s="2" t="s">
        <v>109</v>
      </c>
      <c r="AH13" s="2">
        <v>14226</v>
      </c>
      <c r="AI13" s="2" t="s">
        <v>179</v>
      </c>
      <c r="AJ13" s="2">
        <v>2420</v>
      </c>
      <c r="AK13" s="2">
        <v>4</v>
      </c>
      <c r="AL13" s="2">
        <v>14226</v>
      </c>
      <c r="AM13" s="2">
        <v>2433</v>
      </c>
      <c r="AN13" s="2">
        <v>1</v>
      </c>
      <c r="AO13" s="2" t="s">
        <v>180</v>
      </c>
      <c r="AP13" s="8" t="s">
        <v>98</v>
      </c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</row>
    <row r="14" spans="1:76" x14ac:dyDescent="0.25">
      <c r="A14" s="2"/>
      <c r="B14" s="2"/>
      <c r="C14" s="2" t="s">
        <v>73</v>
      </c>
      <c r="D14" s="2" t="s">
        <v>0</v>
      </c>
      <c r="E14" s="2" t="s">
        <v>188</v>
      </c>
      <c r="F14" s="2" t="s">
        <v>189</v>
      </c>
      <c r="G14" s="2" t="s">
        <v>190</v>
      </c>
      <c r="H14" s="2" t="s">
        <v>191</v>
      </c>
      <c r="I14" s="7" t="s">
        <v>192</v>
      </c>
      <c r="J14" s="2" t="s">
        <v>193</v>
      </c>
      <c r="K14" s="2" t="s">
        <v>79</v>
      </c>
      <c r="L14" s="2">
        <v>108.24072</v>
      </c>
      <c r="M14" s="2">
        <v>-7.4156500000000003</v>
      </c>
      <c r="N14" s="2" t="s">
        <v>80</v>
      </c>
      <c r="O14" s="2" t="s">
        <v>194</v>
      </c>
      <c r="P14" s="2" t="s">
        <v>195</v>
      </c>
      <c r="Q14" s="2" t="s">
        <v>196</v>
      </c>
      <c r="R14" s="2" t="s">
        <v>197</v>
      </c>
      <c r="S14" s="2">
        <v>313</v>
      </c>
      <c r="T14" s="2" t="s">
        <v>85</v>
      </c>
      <c r="U14" s="2" t="s">
        <v>86</v>
      </c>
      <c r="V14" s="2" t="s">
        <v>133</v>
      </c>
      <c r="W14" s="2" t="s">
        <v>133</v>
      </c>
      <c r="X14" s="2" t="s">
        <v>88</v>
      </c>
      <c r="Y14" s="2" t="s">
        <v>89</v>
      </c>
      <c r="Z14" s="2" t="s">
        <v>90</v>
      </c>
      <c r="AA14" s="2" t="s">
        <v>91</v>
      </c>
      <c r="AB14" s="2" t="s">
        <v>198</v>
      </c>
      <c r="AC14" s="2">
        <v>51</v>
      </c>
      <c r="AD14" s="2">
        <v>200</v>
      </c>
      <c r="AE14" s="2" t="s">
        <v>94</v>
      </c>
      <c r="AF14" s="2" t="s">
        <v>95</v>
      </c>
      <c r="AG14" s="2" t="s">
        <v>109</v>
      </c>
      <c r="AH14" s="2">
        <v>14128</v>
      </c>
      <c r="AI14" s="2" t="s">
        <v>199</v>
      </c>
      <c r="AJ14" s="2">
        <v>2263</v>
      </c>
      <c r="AK14" s="2">
        <v>1</v>
      </c>
      <c r="AL14" s="2">
        <v>14128</v>
      </c>
      <c r="AM14" s="2">
        <v>2433</v>
      </c>
      <c r="AN14" s="2">
        <v>1</v>
      </c>
      <c r="AO14" s="2" t="s">
        <v>200</v>
      </c>
      <c r="AP14" s="8" t="s">
        <v>98</v>
      </c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</row>
    <row r="15" spans="1:76" x14ac:dyDescent="0.25">
      <c r="A15" s="2"/>
      <c r="B15" s="2"/>
      <c r="C15" s="2" t="s">
        <v>73</v>
      </c>
      <c r="D15" s="2" t="s">
        <v>1</v>
      </c>
      <c r="E15" s="2" t="s">
        <v>201</v>
      </c>
      <c r="F15" s="2" t="s">
        <v>202</v>
      </c>
      <c r="G15" s="2" t="s">
        <v>203</v>
      </c>
      <c r="H15" s="2" t="s">
        <v>204</v>
      </c>
      <c r="I15" s="7" t="s">
        <v>205</v>
      </c>
      <c r="J15" s="2" t="s">
        <v>206</v>
      </c>
      <c r="K15" s="2" t="s">
        <v>207</v>
      </c>
      <c r="L15" s="2">
        <v>108.768502</v>
      </c>
      <c r="M15" s="2">
        <v>-6.88185</v>
      </c>
      <c r="N15" s="2" t="s">
        <v>80</v>
      </c>
      <c r="O15" s="2" t="s">
        <v>164</v>
      </c>
      <c r="P15" s="2" t="s">
        <v>208</v>
      </c>
      <c r="Q15" s="2" t="s">
        <v>209</v>
      </c>
      <c r="R15" s="2" t="s">
        <v>210</v>
      </c>
      <c r="S15" s="2">
        <v>312</v>
      </c>
      <c r="T15" s="2" t="s">
        <v>85</v>
      </c>
      <c r="U15" s="2" t="s">
        <v>86</v>
      </c>
      <c r="V15" s="2" t="s">
        <v>164</v>
      </c>
      <c r="W15" s="2" t="s">
        <v>164</v>
      </c>
      <c r="X15" s="2" t="s">
        <v>88</v>
      </c>
      <c r="Y15" s="2" t="s">
        <v>89</v>
      </c>
      <c r="Z15" s="2" t="s">
        <v>90</v>
      </c>
      <c r="AA15" s="2" t="s">
        <v>211</v>
      </c>
      <c r="AB15" s="2" t="s">
        <v>92</v>
      </c>
      <c r="AC15" s="2">
        <v>47</v>
      </c>
      <c r="AD15" s="2" t="s">
        <v>212</v>
      </c>
      <c r="AE15" s="2" t="s">
        <v>94</v>
      </c>
      <c r="AF15" s="2" t="s">
        <v>95</v>
      </c>
      <c r="AG15" s="2" t="s">
        <v>213</v>
      </c>
      <c r="AH15" s="2"/>
      <c r="AI15" s="2"/>
      <c r="AJ15" s="2"/>
      <c r="AK15" s="2"/>
      <c r="AL15" s="2"/>
      <c r="AM15" s="2"/>
      <c r="AN15" s="2"/>
      <c r="AO15" s="2"/>
      <c r="AP15" s="2"/>
      <c r="AQ15" s="8">
        <v>2093</v>
      </c>
      <c r="AR15" s="8" t="s">
        <v>214</v>
      </c>
      <c r="AS15" s="8">
        <v>2378</v>
      </c>
      <c r="AT15" s="8">
        <v>1</v>
      </c>
      <c r="AU15" s="8">
        <v>2093</v>
      </c>
      <c r="AV15" s="8">
        <v>9681</v>
      </c>
      <c r="AW15" s="8" t="s">
        <v>215</v>
      </c>
      <c r="AX15" s="8">
        <v>610</v>
      </c>
      <c r="AY15" s="8" t="s">
        <v>216</v>
      </c>
      <c r="AZ15" s="8" t="s">
        <v>216</v>
      </c>
      <c r="BA15" s="8" t="s">
        <v>216</v>
      </c>
      <c r="BB15" s="8">
        <v>40</v>
      </c>
      <c r="BC15" s="8" t="s">
        <v>205</v>
      </c>
      <c r="BD15" s="8">
        <v>510</v>
      </c>
      <c r="BE15" s="8">
        <v>10</v>
      </c>
      <c r="BF15" s="8" t="s">
        <v>217</v>
      </c>
      <c r="BG15" s="8" t="s">
        <v>218</v>
      </c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</row>
    <row r="16" spans="1:76" x14ac:dyDescent="0.25">
      <c r="A16" s="2"/>
      <c r="B16" s="2"/>
      <c r="C16" s="2" t="s">
        <v>73</v>
      </c>
      <c r="D16" s="2" t="s">
        <v>1</v>
      </c>
      <c r="E16" s="2" t="s">
        <v>219</v>
      </c>
      <c r="F16" s="2" t="s">
        <v>220</v>
      </c>
      <c r="G16" s="2" t="s">
        <v>221</v>
      </c>
      <c r="H16" s="2" t="s">
        <v>222</v>
      </c>
      <c r="I16" s="7" t="s">
        <v>223</v>
      </c>
      <c r="J16" s="2" t="s">
        <v>224</v>
      </c>
      <c r="K16" s="2" t="s">
        <v>207</v>
      </c>
      <c r="L16" s="2">
        <v>108.2903</v>
      </c>
      <c r="M16" s="2">
        <v>-6.7827999999999999</v>
      </c>
      <c r="N16" s="2" t="s">
        <v>80</v>
      </c>
      <c r="O16" s="2" t="s">
        <v>160</v>
      </c>
      <c r="P16" s="2" t="s">
        <v>225</v>
      </c>
      <c r="Q16" s="2" t="s">
        <v>226</v>
      </c>
      <c r="R16" s="2" t="s">
        <v>227</v>
      </c>
      <c r="S16" s="2">
        <v>312</v>
      </c>
      <c r="T16" s="2" t="s">
        <v>85</v>
      </c>
      <c r="U16" s="2" t="s">
        <v>86</v>
      </c>
      <c r="V16" s="2" t="s">
        <v>164</v>
      </c>
      <c r="W16" s="2" t="s">
        <v>165</v>
      </c>
      <c r="X16" s="2" t="s">
        <v>88</v>
      </c>
      <c r="Y16" s="2" t="s">
        <v>89</v>
      </c>
      <c r="Z16" s="2" t="s">
        <v>90</v>
      </c>
      <c r="AA16" s="2" t="s">
        <v>211</v>
      </c>
      <c r="AB16" s="2" t="s">
        <v>92</v>
      </c>
      <c r="AC16" s="2">
        <v>51</v>
      </c>
      <c r="AD16" s="2" t="s">
        <v>228</v>
      </c>
      <c r="AE16" s="2" t="s">
        <v>94</v>
      </c>
      <c r="AF16" s="2" t="s">
        <v>95</v>
      </c>
      <c r="AG16" s="2" t="s">
        <v>71</v>
      </c>
      <c r="AH16" s="2"/>
      <c r="AI16" s="2"/>
      <c r="AJ16" s="2"/>
      <c r="AK16" s="2"/>
      <c r="AL16" s="2"/>
      <c r="AM16" s="2"/>
      <c r="AN16" s="2"/>
      <c r="AO16" s="2"/>
      <c r="AP16" s="2"/>
      <c r="AQ16" s="8">
        <v>2003</v>
      </c>
      <c r="AR16" s="8" t="s">
        <v>229</v>
      </c>
      <c r="AS16" s="8">
        <v>2374</v>
      </c>
      <c r="AT16" s="8">
        <v>1</v>
      </c>
      <c r="AU16" s="8">
        <v>2003</v>
      </c>
      <c r="AV16" s="8">
        <v>13251</v>
      </c>
      <c r="AW16" s="8" t="s">
        <v>230</v>
      </c>
      <c r="AX16" s="8">
        <v>750</v>
      </c>
      <c r="AY16" s="8" t="s">
        <v>216</v>
      </c>
      <c r="AZ16" s="8" t="s">
        <v>216</v>
      </c>
      <c r="BA16" s="8" t="s">
        <v>216</v>
      </c>
      <c r="BB16" s="8">
        <v>41</v>
      </c>
      <c r="BC16" s="8" t="s">
        <v>223</v>
      </c>
      <c r="BD16" s="8">
        <v>510</v>
      </c>
      <c r="BE16" s="8">
        <v>10</v>
      </c>
      <c r="BF16" s="8" t="s">
        <v>217</v>
      </c>
      <c r="BG16" s="8" t="s">
        <v>218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</row>
    <row r="17" spans="1:76" x14ac:dyDescent="0.25">
      <c r="A17" s="2"/>
      <c r="B17" s="2"/>
      <c r="C17" s="2" t="s">
        <v>73</v>
      </c>
      <c r="D17" s="2" t="s">
        <v>1</v>
      </c>
      <c r="E17" s="2" t="s">
        <v>231</v>
      </c>
      <c r="F17" s="2" t="s">
        <v>232</v>
      </c>
      <c r="G17" s="2" t="s">
        <v>233</v>
      </c>
      <c r="H17" s="2" t="s">
        <v>234</v>
      </c>
      <c r="I17" s="7" t="s">
        <v>235</v>
      </c>
      <c r="J17" s="2" t="s">
        <v>236</v>
      </c>
      <c r="K17" s="2" t="s">
        <v>207</v>
      </c>
      <c r="L17" s="2">
        <v>107.99213</v>
      </c>
      <c r="M17" s="2">
        <v>-6.50244</v>
      </c>
      <c r="N17" s="2" t="s">
        <v>80</v>
      </c>
      <c r="O17" s="2" t="s">
        <v>237</v>
      </c>
      <c r="P17" s="2" t="s">
        <v>238</v>
      </c>
      <c r="Q17" s="2" t="s">
        <v>238</v>
      </c>
      <c r="R17" s="2" t="s">
        <v>239</v>
      </c>
      <c r="S17" s="2">
        <v>312</v>
      </c>
      <c r="T17" s="2" t="s">
        <v>85</v>
      </c>
      <c r="U17" s="2" t="s">
        <v>86</v>
      </c>
      <c r="V17" s="2" t="s">
        <v>164</v>
      </c>
      <c r="W17" s="2" t="s">
        <v>164</v>
      </c>
      <c r="X17" s="2" t="s">
        <v>88</v>
      </c>
      <c r="Y17" s="2" t="s">
        <v>89</v>
      </c>
      <c r="Z17" s="2" t="s">
        <v>90</v>
      </c>
      <c r="AA17" s="2" t="s">
        <v>211</v>
      </c>
      <c r="AB17" s="2" t="s">
        <v>92</v>
      </c>
      <c r="AC17" s="2">
        <v>51</v>
      </c>
      <c r="AD17" s="2" t="s">
        <v>240</v>
      </c>
      <c r="AE17" s="2" t="s">
        <v>94</v>
      </c>
      <c r="AF17" s="2" t="s">
        <v>95</v>
      </c>
      <c r="AG17" s="2" t="s">
        <v>241</v>
      </c>
      <c r="AH17" s="2"/>
      <c r="AI17" s="2"/>
      <c r="AJ17" s="2"/>
      <c r="AK17" s="2"/>
      <c r="AL17" s="2"/>
      <c r="AM17" s="2"/>
      <c r="AN17" s="2"/>
      <c r="AO17" s="2"/>
      <c r="AP17" s="2"/>
      <c r="AQ17" s="8">
        <v>2033</v>
      </c>
      <c r="AR17" s="8" t="s">
        <v>229</v>
      </c>
      <c r="AS17" s="8">
        <v>2374</v>
      </c>
      <c r="AT17" s="8">
        <v>2</v>
      </c>
      <c r="AU17" s="8">
        <v>2033</v>
      </c>
      <c r="AV17" s="8">
        <v>23711</v>
      </c>
      <c r="AW17" s="8" t="s">
        <v>242</v>
      </c>
      <c r="AX17" s="8">
        <v>751</v>
      </c>
      <c r="AY17" s="8" t="s">
        <v>216</v>
      </c>
      <c r="AZ17" s="8" t="s">
        <v>216</v>
      </c>
      <c r="BA17" s="8" t="s">
        <v>216</v>
      </c>
      <c r="BB17" s="8">
        <v>41</v>
      </c>
      <c r="BC17" s="8" t="s">
        <v>235</v>
      </c>
      <c r="BD17" s="8">
        <v>510</v>
      </c>
      <c r="BE17" s="8">
        <v>10</v>
      </c>
      <c r="BF17" s="8" t="s">
        <v>217</v>
      </c>
      <c r="BG17" s="8" t="s">
        <v>218</v>
      </c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</row>
    <row r="18" spans="1:76" x14ac:dyDescent="0.25">
      <c r="A18" s="2"/>
      <c r="B18" s="2"/>
      <c r="C18" s="2" t="s">
        <v>73</v>
      </c>
      <c r="D18" s="2" t="s">
        <v>243</v>
      </c>
      <c r="E18" s="2" t="s">
        <v>244</v>
      </c>
      <c r="F18" s="2" t="s">
        <v>245</v>
      </c>
      <c r="G18" s="2" t="s">
        <v>246</v>
      </c>
      <c r="H18" s="2" t="s">
        <v>247</v>
      </c>
      <c r="I18" s="7" t="s">
        <v>248</v>
      </c>
      <c r="J18" s="2" t="s">
        <v>249</v>
      </c>
      <c r="K18" s="2" t="s">
        <v>250</v>
      </c>
      <c r="L18" s="2">
        <v>107.37627000000001</v>
      </c>
      <c r="M18" s="2">
        <v>-6.7340799999999996</v>
      </c>
      <c r="N18" s="2" t="s">
        <v>80</v>
      </c>
      <c r="O18" s="2" t="s">
        <v>251</v>
      </c>
      <c r="P18" s="2" t="s">
        <v>252</v>
      </c>
      <c r="Q18" s="2" t="s">
        <v>253</v>
      </c>
      <c r="R18" s="2" t="s">
        <v>254</v>
      </c>
      <c r="S18" s="2">
        <v>311</v>
      </c>
      <c r="T18" s="2" t="s">
        <v>85</v>
      </c>
      <c r="U18" s="2" t="s">
        <v>86</v>
      </c>
      <c r="V18" s="2" t="s">
        <v>81</v>
      </c>
      <c r="W18" s="2" t="s">
        <v>174</v>
      </c>
      <c r="X18" s="2" t="s">
        <v>88</v>
      </c>
      <c r="Y18" s="2" t="s">
        <v>89</v>
      </c>
      <c r="Z18" s="2" t="s">
        <v>90</v>
      </c>
      <c r="AA18" s="2" t="s">
        <v>91</v>
      </c>
      <c r="AB18" s="2" t="s">
        <v>92</v>
      </c>
      <c r="AC18" s="2">
        <v>49</v>
      </c>
      <c r="AD18" s="2" t="s">
        <v>255</v>
      </c>
      <c r="AE18" s="2" t="s">
        <v>256</v>
      </c>
      <c r="AF18" s="2" t="s">
        <v>95</v>
      </c>
      <c r="AG18" s="2" t="s">
        <v>153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7">
        <v>2072</v>
      </c>
      <c r="BI18" s="7">
        <v>2087</v>
      </c>
      <c r="BJ18" s="7" t="s">
        <v>257</v>
      </c>
      <c r="BK18" s="9" t="s">
        <v>258</v>
      </c>
      <c r="BL18" s="7" t="s">
        <v>259</v>
      </c>
      <c r="BM18" s="9" t="s">
        <v>94</v>
      </c>
      <c r="BN18" s="7">
        <v>8000</v>
      </c>
      <c r="BO18" s="7">
        <v>431007</v>
      </c>
      <c r="BP18" s="7" t="s">
        <v>260</v>
      </c>
      <c r="BQ18" s="7">
        <v>8</v>
      </c>
      <c r="BR18" s="7">
        <v>21500</v>
      </c>
      <c r="BS18" s="7">
        <v>3500</v>
      </c>
      <c r="BT18" s="9" t="s">
        <v>261</v>
      </c>
      <c r="BU18" s="9">
        <v>1</v>
      </c>
      <c r="BV18" s="9">
        <v>1</v>
      </c>
      <c r="BW18" s="9">
        <v>510</v>
      </c>
      <c r="BX18" s="9">
        <v>10</v>
      </c>
    </row>
    <row r="19" spans="1:76" x14ac:dyDescent="0.25">
      <c r="A19" s="2"/>
      <c r="B19" s="2"/>
      <c r="C19" s="2" t="s">
        <v>73</v>
      </c>
      <c r="D19" s="2" t="s">
        <v>243</v>
      </c>
      <c r="E19" s="2" t="s">
        <v>262</v>
      </c>
      <c r="F19" s="2" t="s">
        <v>263</v>
      </c>
      <c r="G19" s="2" t="s">
        <v>264</v>
      </c>
      <c r="H19" s="2" t="s">
        <v>265</v>
      </c>
      <c r="I19" s="7" t="s">
        <v>248</v>
      </c>
      <c r="J19" s="2" t="s">
        <v>266</v>
      </c>
      <c r="K19" s="2" t="s">
        <v>250</v>
      </c>
      <c r="L19" s="2">
        <v>107.35211</v>
      </c>
      <c r="M19" s="2">
        <v>-6.8515600000000001</v>
      </c>
      <c r="N19" s="2" t="s">
        <v>80</v>
      </c>
      <c r="O19" s="2" t="s">
        <v>251</v>
      </c>
      <c r="P19" s="2" t="s">
        <v>267</v>
      </c>
      <c r="Q19" s="2" t="s">
        <v>268</v>
      </c>
      <c r="R19" s="2" t="s">
        <v>269</v>
      </c>
      <c r="S19" s="2">
        <v>311</v>
      </c>
      <c r="T19" s="2" t="s">
        <v>85</v>
      </c>
      <c r="U19" s="2" t="s">
        <v>86</v>
      </c>
      <c r="V19" s="2" t="s">
        <v>87</v>
      </c>
      <c r="W19" s="2" t="s">
        <v>87</v>
      </c>
      <c r="X19" s="2" t="s">
        <v>88</v>
      </c>
      <c r="Y19" s="2" t="s">
        <v>89</v>
      </c>
      <c r="Z19" s="2" t="s">
        <v>90</v>
      </c>
      <c r="AA19" s="2" t="s">
        <v>91</v>
      </c>
      <c r="AB19" s="2" t="s">
        <v>270</v>
      </c>
      <c r="AC19" s="2">
        <v>45</v>
      </c>
      <c r="AD19" s="2" t="s">
        <v>271</v>
      </c>
      <c r="AE19" s="2" t="s">
        <v>256</v>
      </c>
      <c r="AF19" s="2" t="s">
        <v>95</v>
      </c>
      <c r="AG19" s="2" t="s">
        <v>153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7">
        <v>2071</v>
      </c>
      <c r="BI19" s="7">
        <v>2085</v>
      </c>
      <c r="BJ19" s="7" t="s">
        <v>272</v>
      </c>
      <c r="BK19" s="9" t="s">
        <v>258</v>
      </c>
      <c r="BL19" s="7" t="s">
        <v>273</v>
      </c>
      <c r="BM19" s="9" t="s">
        <v>94</v>
      </c>
      <c r="BN19" s="7">
        <v>8000</v>
      </c>
      <c r="BO19" s="7">
        <v>431026</v>
      </c>
      <c r="BP19" s="7" t="s">
        <v>274</v>
      </c>
      <c r="BQ19" s="7">
        <v>8</v>
      </c>
      <c r="BR19" s="7">
        <v>21500</v>
      </c>
      <c r="BS19" s="7">
        <v>3500</v>
      </c>
      <c r="BT19" s="9" t="s">
        <v>261</v>
      </c>
      <c r="BU19" s="9">
        <v>1</v>
      </c>
      <c r="BV19" s="9">
        <v>1</v>
      </c>
      <c r="BW19" s="9">
        <v>510</v>
      </c>
      <c r="BX19" s="9">
        <v>10</v>
      </c>
    </row>
    <row r="20" spans="1:76" x14ac:dyDescent="0.25">
      <c r="A20" s="2"/>
      <c r="B20" s="2"/>
      <c r="C20" s="2" t="s">
        <v>73</v>
      </c>
      <c r="D20" s="2" t="s">
        <v>243</v>
      </c>
      <c r="E20" s="2" t="s">
        <v>275</v>
      </c>
      <c r="F20" s="2" t="s">
        <v>276</v>
      </c>
      <c r="G20" s="2" t="s">
        <v>277</v>
      </c>
      <c r="H20" s="2" t="s">
        <v>278</v>
      </c>
      <c r="I20" s="7" t="s">
        <v>248</v>
      </c>
      <c r="J20" s="2" t="s">
        <v>279</v>
      </c>
      <c r="K20" s="2" t="s">
        <v>250</v>
      </c>
      <c r="L20" s="2">
        <v>107.433136</v>
      </c>
      <c r="M20" s="2">
        <v>-6.907241</v>
      </c>
      <c r="N20" s="2" t="s">
        <v>80</v>
      </c>
      <c r="O20" s="2" t="s">
        <v>251</v>
      </c>
      <c r="P20" s="2" t="s">
        <v>280</v>
      </c>
      <c r="Q20" s="2" t="s">
        <v>281</v>
      </c>
      <c r="R20" s="2" t="s">
        <v>282</v>
      </c>
      <c r="S20" s="2">
        <v>311</v>
      </c>
      <c r="T20" s="2" t="s">
        <v>85</v>
      </c>
      <c r="U20" s="2" t="s">
        <v>86</v>
      </c>
      <c r="V20" s="2" t="s">
        <v>87</v>
      </c>
      <c r="W20" s="2" t="s">
        <v>87</v>
      </c>
      <c r="X20" s="2" t="s">
        <v>88</v>
      </c>
      <c r="Y20" s="2" t="s">
        <v>89</v>
      </c>
      <c r="Z20" s="2" t="s">
        <v>90</v>
      </c>
      <c r="AA20" s="2" t="s">
        <v>91</v>
      </c>
      <c r="AB20" s="2" t="s">
        <v>92</v>
      </c>
      <c r="AC20" s="2">
        <v>40</v>
      </c>
      <c r="AD20" s="2" t="s">
        <v>283</v>
      </c>
      <c r="AE20" s="2" t="s">
        <v>256</v>
      </c>
      <c r="AF20" s="2" t="s">
        <v>95</v>
      </c>
      <c r="AG20" s="2" t="s">
        <v>109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7">
        <v>2043</v>
      </c>
      <c r="BI20" s="7">
        <v>2051</v>
      </c>
      <c r="BJ20" s="7" t="s">
        <v>284</v>
      </c>
      <c r="BK20" s="9" t="s">
        <v>258</v>
      </c>
      <c r="BL20" s="7" t="s">
        <v>285</v>
      </c>
      <c r="BM20" s="9" t="s">
        <v>94</v>
      </c>
      <c r="BN20" s="7">
        <v>8000</v>
      </c>
      <c r="BO20" s="7">
        <v>431135</v>
      </c>
      <c r="BP20" s="7" t="s">
        <v>286</v>
      </c>
      <c r="BQ20" s="7">
        <v>8</v>
      </c>
      <c r="BR20" s="7">
        <v>21500</v>
      </c>
      <c r="BS20" s="7">
        <v>3500</v>
      </c>
      <c r="BT20" s="9" t="s">
        <v>261</v>
      </c>
      <c r="BU20" s="9">
        <v>1</v>
      </c>
      <c r="BV20" s="9">
        <v>1</v>
      </c>
      <c r="BW20" s="9">
        <v>510</v>
      </c>
      <c r="BX20" s="9">
        <v>10</v>
      </c>
    </row>
    <row r="21" spans="1:76" x14ac:dyDescent="0.25">
      <c r="A21" s="2"/>
      <c r="B21" s="2"/>
      <c r="C21" s="2" t="s">
        <v>73</v>
      </c>
      <c r="D21" s="2" t="s">
        <v>243</v>
      </c>
      <c r="E21" s="2" t="s">
        <v>287</v>
      </c>
      <c r="F21" s="2" t="s">
        <v>288</v>
      </c>
      <c r="G21" s="2" t="s">
        <v>289</v>
      </c>
      <c r="H21" s="2" t="s">
        <v>290</v>
      </c>
      <c r="I21" s="7" t="s">
        <v>248</v>
      </c>
      <c r="J21" s="2" t="s">
        <v>291</v>
      </c>
      <c r="K21" s="2" t="s">
        <v>250</v>
      </c>
      <c r="L21" s="2">
        <v>107.38217</v>
      </c>
      <c r="M21" s="2">
        <v>-6.97464</v>
      </c>
      <c r="N21" s="2" t="s">
        <v>80</v>
      </c>
      <c r="O21" s="2" t="s">
        <v>251</v>
      </c>
      <c r="P21" s="2" t="s">
        <v>292</v>
      </c>
      <c r="Q21" s="2" t="s">
        <v>293</v>
      </c>
      <c r="R21" s="2" t="s">
        <v>294</v>
      </c>
      <c r="S21" s="2">
        <v>311</v>
      </c>
      <c r="T21" s="2" t="s">
        <v>85</v>
      </c>
      <c r="U21" s="2" t="s">
        <v>86</v>
      </c>
      <c r="V21" s="2" t="s">
        <v>87</v>
      </c>
      <c r="W21" s="2" t="s">
        <v>87</v>
      </c>
      <c r="X21" s="2" t="s">
        <v>88</v>
      </c>
      <c r="Y21" s="2" t="s">
        <v>89</v>
      </c>
      <c r="Z21" s="2" t="s">
        <v>90</v>
      </c>
      <c r="AA21" s="2" t="s">
        <v>91</v>
      </c>
      <c r="AB21" s="2" t="s">
        <v>92</v>
      </c>
      <c r="AC21" s="2">
        <v>48</v>
      </c>
      <c r="AD21" s="2" t="s">
        <v>295</v>
      </c>
      <c r="AE21" s="2" t="s">
        <v>256</v>
      </c>
      <c r="AF21" s="2" t="s">
        <v>95</v>
      </c>
      <c r="AG21" s="2" t="s">
        <v>296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7">
        <v>2072</v>
      </c>
      <c r="BI21" s="7">
        <v>2087</v>
      </c>
      <c r="BJ21" s="7" t="s">
        <v>297</v>
      </c>
      <c r="BK21" s="9" t="s">
        <v>258</v>
      </c>
      <c r="BL21" s="7" t="s">
        <v>298</v>
      </c>
      <c r="BM21" s="9" t="s">
        <v>94</v>
      </c>
      <c r="BN21" s="7">
        <v>8000</v>
      </c>
      <c r="BO21" s="7">
        <v>431144</v>
      </c>
      <c r="BP21" s="7" t="s">
        <v>299</v>
      </c>
      <c r="BQ21" s="7">
        <v>8</v>
      </c>
      <c r="BR21" s="7">
        <v>21500</v>
      </c>
      <c r="BS21" s="7">
        <v>3500</v>
      </c>
      <c r="BT21" s="9" t="s">
        <v>261</v>
      </c>
      <c r="BU21" s="9">
        <v>1</v>
      </c>
      <c r="BV21" s="9">
        <v>1</v>
      </c>
      <c r="BW21" s="9">
        <v>510</v>
      </c>
      <c r="BX21" s="9">
        <v>10</v>
      </c>
    </row>
    <row r="22" spans="1:76" x14ac:dyDescent="0.25">
      <c r="A22" s="2"/>
      <c r="B22" s="2"/>
      <c r="C22" s="2" t="s">
        <v>73</v>
      </c>
      <c r="D22" s="2" t="s">
        <v>243</v>
      </c>
      <c r="E22" s="2" t="s">
        <v>300</v>
      </c>
      <c r="F22" s="2" t="s">
        <v>301</v>
      </c>
      <c r="G22" s="2" t="s">
        <v>302</v>
      </c>
      <c r="H22" s="2" t="s">
        <v>303</v>
      </c>
      <c r="I22" s="7" t="s">
        <v>304</v>
      </c>
      <c r="J22" s="2" t="s">
        <v>305</v>
      </c>
      <c r="K22" s="2" t="s">
        <v>250</v>
      </c>
      <c r="L22" s="2">
        <v>107.47839999999999</v>
      </c>
      <c r="M22" s="2">
        <v>-6.9129899999999997</v>
      </c>
      <c r="N22" s="2" t="s">
        <v>80</v>
      </c>
      <c r="O22" s="2" t="s">
        <v>251</v>
      </c>
      <c r="P22" s="2" t="s">
        <v>306</v>
      </c>
      <c r="Q22" s="2" t="s">
        <v>307</v>
      </c>
      <c r="R22" s="2" t="s">
        <v>308</v>
      </c>
      <c r="S22" s="2">
        <v>311</v>
      </c>
      <c r="T22" s="2" t="s">
        <v>85</v>
      </c>
      <c r="U22" s="2" t="s">
        <v>86</v>
      </c>
      <c r="V22" s="2" t="s">
        <v>87</v>
      </c>
      <c r="W22" s="2" t="s">
        <v>87</v>
      </c>
      <c r="X22" s="2" t="s">
        <v>88</v>
      </c>
      <c r="Y22" s="2" t="s">
        <v>89</v>
      </c>
      <c r="Z22" s="2" t="s">
        <v>90</v>
      </c>
      <c r="AA22" s="2" t="s">
        <v>309</v>
      </c>
      <c r="AB22" s="2" t="s">
        <v>310</v>
      </c>
      <c r="AC22" s="2">
        <v>32</v>
      </c>
      <c r="AD22" s="2" t="s">
        <v>311</v>
      </c>
      <c r="AE22" s="2" t="s">
        <v>256</v>
      </c>
      <c r="AF22" s="2" t="s">
        <v>95</v>
      </c>
      <c r="AG22" s="2" t="s">
        <v>153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7">
        <v>2043</v>
      </c>
      <c r="BI22" s="7">
        <v>2051</v>
      </c>
      <c r="BJ22" s="7" t="s">
        <v>312</v>
      </c>
      <c r="BK22" s="9" t="s">
        <v>258</v>
      </c>
      <c r="BL22" s="7" t="s">
        <v>313</v>
      </c>
      <c r="BM22" s="9" t="s">
        <v>94</v>
      </c>
      <c r="BN22" s="7">
        <v>8000</v>
      </c>
      <c r="BO22" s="7">
        <v>431198</v>
      </c>
      <c r="BP22" s="7" t="s">
        <v>314</v>
      </c>
      <c r="BQ22" s="7">
        <v>40</v>
      </c>
      <c r="BR22" s="7">
        <v>38750</v>
      </c>
      <c r="BS22" s="7">
        <v>38750</v>
      </c>
      <c r="BT22" s="9" t="s">
        <v>261</v>
      </c>
      <c r="BU22" s="9">
        <v>1</v>
      </c>
      <c r="BV22" s="9">
        <v>1</v>
      </c>
      <c r="BW22" s="9">
        <v>510</v>
      </c>
      <c r="BX22" s="9">
        <v>10</v>
      </c>
    </row>
    <row r="23" spans="1:76" x14ac:dyDescent="0.25">
      <c r="A23" s="2"/>
      <c r="B23" s="2"/>
      <c r="C23" s="2" t="s">
        <v>73</v>
      </c>
      <c r="D23" s="2" t="s">
        <v>243</v>
      </c>
      <c r="E23" s="2" t="s">
        <v>300</v>
      </c>
      <c r="F23" s="2" t="s">
        <v>315</v>
      </c>
      <c r="G23" s="2" t="s">
        <v>302</v>
      </c>
      <c r="H23" s="2" t="s">
        <v>303</v>
      </c>
      <c r="I23" s="7" t="s">
        <v>316</v>
      </c>
      <c r="J23" s="2" t="s">
        <v>317</v>
      </c>
      <c r="K23" s="2" t="s">
        <v>250</v>
      </c>
      <c r="L23" s="2">
        <v>107.47839999999999</v>
      </c>
      <c r="M23" s="2">
        <v>-6.9129899999999997</v>
      </c>
      <c r="N23" s="2" t="s">
        <v>80</v>
      </c>
      <c r="O23" s="2" t="s">
        <v>251</v>
      </c>
      <c r="P23" s="2" t="s">
        <v>306</v>
      </c>
      <c r="Q23" s="2" t="s">
        <v>307</v>
      </c>
      <c r="R23" s="2" t="s">
        <v>308</v>
      </c>
      <c r="S23" s="2">
        <v>311</v>
      </c>
      <c r="T23" s="2" t="s">
        <v>85</v>
      </c>
      <c r="U23" s="2" t="s">
        <v>86</v>
      </c>
      <c r="V23" s="2" t="s">
        <v>87</v>
      </c>
      <c r="W23" s="2" t="s">
        <v>87</v>
      </c>
      <c r="X23" s="2" t="s">
        <v>88</v>
      </c>
      <c r="Y23" s="2" t="s">
        <v>89</v>
      </c>
      <c r="Z23" s="2" t="s">
        <v>90</v>
      </c>
      <c r="AA23" s="2" t="s">
        <v>309</v>
      </c>
      <c r="AB23" s="2" t="s">
        <v>310</v>
      </c>
      <c r="AC23" s="2">
        <v>32</v>
      </c>
      <c r="AD23" s="2" t="s">
        <v>311</v>
      </c>
      <c r="AE23" s="2" t="s">
        <v>256</v>
      </c>
      <c r="AF23" s="2" t="s">
        <v>95</v>
      </c>
      <c r="AG23" s="2" t="s">
        <v>153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7">
        <v>2043</v>
      </c>
      <c r="BI23" s="7">
        <v>2051</v>
      </c>
      <c r="BJ23" s="7" t="s">
        <v>312</v>
      </c>
      <c r="BK23" s="9" t="s">
        <v>258</v>
      </c>
      <c r="BL23" s="7" t="s">
        <v>313</v>
      </c>
      <c r="BM23" s="9" t="s">
        <v>94</v>
      </c>
      <c r="BN23" s="7">
        <v>8000</v>
      </c>
      <c r="BO23" s="7">
        <v>431198</v>
      </c>
      <c r="BP23" s="7" t="s">
        <v>314</v>
      </c>
      <c r="BQ23" s="7">
        <v>40</v>
      </c>
      <c r="BR23" s="7">
        <v>38894</v>
      </c>
      <c r="BS23" s="7">
        <v>38894</v>
      </c>
      <c r="BT23" s="9" t="s">
        <v>261</v>
      </c>
      <c r="BU23" s="9">
        <v>1</v>
      </c>
      <c r="BV23" s="9">
        <v>1</v>
      </c>
      <c r="BW23" s="9">
        <v>510</v>
      </c>
      <c r="BX23" s="9">
        <v>10</v>
      </c>
    </row>
    <row r="24" spans="1:76" x14ac:dyDescent="0.25">
      <c r="A24" s="2"/>
      <c r="B24" s="2"/>
      <c r="C24" s="2" t="s">
        <v>73</v>
      </c>
      <c r="D24" s="2" t="s">
        <v>243</v>
      </c>
      <c r="E24" s="2" t="s">
        <v>318</v>
      </c>
      <c r="F24" s="2" t="s">
        <v>319</v>
      </c>
      <c r="G24" s="2" t="s">
        <v>320</v>
      </c>
      <c r="H24" s="2" t="s">
        <v>321</v>
      </c>
      <c r="I24" s="7" t="s">
        <v>248</v>
      </c>
      <c r="J24" s="2" t="s">
        <v>322</v>
      </c>
      <c r="K24" s="2" t="s">
        <v>250</v>
      </c>
      <c r="L24" s="2">
        <v>107.70085</v>
      </c>
      <c r="M24" s="2">
        <v>-6.8310000000000004</v>
      </c>
      <c r="N24" s="2" t="s">
        <v>80</v>
      </c>
      <c r="O24" s="2" t="s">
        <v>251</v>
      </c>
      <c r="P24" s="2" t="s">
        <v>323</v>
      </c>
      <c r="Q24" s="2" t="s">
        <v>324</v>
      </c>
      <c r="R24" s="2" t="s">
        <v>325</v>
      </c>
      <c r="S24" s="2">
        <v>311</v>
      </c>
      <c r="T24" s="2" t="s">
        <v>85</v>
      </c>
      <c r="U24" s="2" t="s">
        <v>86</v>
      </c>
      <c r="V24" s="2" t="s">
        <v>81</v>
      </c>
      <c r="W24" s="2" t="s">
        <v>174</v>
      </c>
      <c r="X24" s="2" t="s">
        <v>88</v>
      </c>
      <c r="Y24" s="2" t="s">
        <v>89</v>
      </c>
      <c r="Z24" s="2" t="s">
        <v>90</v>
      </c>
      <c r="AA24" s="2" t="s">
        <v>91</v>
      </c>
      <c r="AB24" s="2" t="s">
        <v>92</v>
      </c>
      <c r="AC24" s="2">
        <v>41</v>
      </c>
      <c r="AD24" s="2" t="s">
        <v>326</v>
      </c>
      <c r="AE24" s="2" t="s">
        <v>256</v>
      </c>
      <c r="AF24" s="2" t="s">
        <v>95</v>
      </c>
      <c r="AG24" s="2" t="s">
        <v>109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7">
        <v>2044</v>
      </c>
      <c r="BI24" s="7">
        <v>2025</v>
      </c>
      <c r="BJ24" s="7" t="s">
        <v>327</v>
      </c>
      <c r="BK24" s="9" t="s">
        <v>258</v>
      </c>
      <c r="BL24" s="7" t="s">
        <v>328</v>
      </c>
      <c r="BM24" s="9" t="s">
        <v>94</v>
      </c>
      <c r="BN24" s="7">
        <v>8000</v>
      </c>
      <c r="BO24" s="7">
        <v>431241</v>
      </c>
      <c r="BP24" s="7" t="s">
        <v>329</v>
      </c>
      <c r="BQ24" s="7">
        <v>8</v>
      </c>
      <c r="BR24" s="7">
        <v>21500</v>
      </c>
      <c r="BS24" s="7">
        <v>3500</v>
      </c>
      <c r="BT24" s="9" t="s">
        <v>261</v>
      </c>
      <c r="BU24" s="9">
        <v>1</v>
      </c>
      <c r="BV24" s="9">
        <v>1</v>
      </c>
      <c r="BW24" s="9">
        <v>510</v>
      </c>
      <c r="BX24" s="9">
        <v>10</v>
      </c>
    </row>
    <row r="27" spans="1:76" x14ac:dyDescent="0.25">
      <c r="A27" s="10">
        <v>1</v>
      </c>
      <c r="B27" s="10">
        <v>2</v>
      </c>
      <c r="C27" s="10">
        <v>3</v>
      </c>
      <c r="D27" s="10">
        <v>4</v>
      </c>
      <c r="E27" s="10">
        <v>5</v>
      </c>
      <c r="F27" s="10">
        <v>6</v>
      </c>
      <c r="G27" s="10">
        <v>7</v>
      </c>
      <c r="H27" s="10">
        <v>8</v>
      </c>
      <c r="I27" s="10">
        <v>9</v>
      </c>
      <c r="J27" s="10">
        <v>10</v>
      </c>
      <c r="K27" s="10">
        <v>11</v>
      </c>
      <c r="L27" s="10">
        <v>12</v>
      </c>
      <c r="M27" s="10">
        <v>13</v>
      </c>
      <c r="N27" s="10">
        <v>14</v>
      </c>
      <c r="O27" s="10">
        <v>15</v>
      </c>
      <c r="P27" s="10">
        <v>16</v>
      </c>
      <c r="Q27" s="10">
        <v>17</v>
      </c>
      <c r="R27" s="10">
        <v>18</v>
      </c>
      <c r="S27" s="10">
        <v>19</v>
      </c>
      <c r="T27" s="10">
        <v>20</v>
      </c>
      <c r="U27" s="10">
        <v>21</v>
      </c>
      <c r="V27" s="10">
        <v>22</v>
      </c>
      <c r="W27" s="10">
        <v>23</v>
      </c>
      <c r="X27" s="10">
        <v>24</v>
      </c>
      <c r="Y27" s="10">
        <v>25</v>
      </c>
      <c r="Z27" s="10">
        <v>26</v>
      </c>
      <c r="AA27" s="10">
        <v>27</v>
      </c>
      <c r="AB27" s="10">
        <v>28</v>
      </c>
      <c r="AC27" s="10">
        <v>29</v>
      </c>
      <c r="AD27" s="10">
        <v>30</v>
      </c>
      <c r="AE27" s="10">
        <v>31</v>
      </c>
      <c r="AF27" s="10">
        <v>32</v>
      </c>
      <c r="AG27" s="10">
        <v>33</v>
      </c>
      <c r="AH27" s="10">
        <v>34</v>
      </c>
      <c r="AI27" s="10">
        <v>35</v>
      </c>
      <c r="AJ27" s="10">
        <v>36</v>
      </c>
      <c r="AK27" s="10">
        <v>37</v>
      </c>
      <c r="AL27" s="10">
        <v>38</v>
      </c>
      <c r="AM27" s="10">
        <v>39</v>
      </c>
      <c r="AN27" s="10">
        <v>40</v>
      </c>
      <c r="AO27" s="10">
        <v>41</v>
      </c>
      <c r="AP27" s="10">
        <v>42</v>
      </c>
      <c r="AQ27" s="10">
        <v>43</v>
      </c>
      <c r="AR27" s="10">
        <v>44</v>
      </c>
      <c r="AS27" s="10">
        <v>45</v>
      </c>
      <c r="AT27" s="10">
        <v>46</v>
      </c>
      <c r="AU27" s="10">
        <v>47</v>
      </c>
      <c r="AV27" s="10">
        <v>48</v>
      </c>
      <c r="AW27" s="10">
        <v>49</v>
      </c>
      <c r="AX27" s="10">
        <v>50</v>
      </c>
      <c r="AY27" s="10">
        <v>51</v>
      </c>
      <c r="AZ27" s="10">
        <v>52</v>
      </c>
      <c r="BA27" s="10">
        <v>53</v>
      </c>
      <c r="BB27" s="10">
        <v>54</v>
      </c>
      <c r="BC27" s="10">
        <v>55</v>
      </c>
      <c r="BD27" s="10">
        <v>56</v>
      </c>
      <c r="BE27" s="10">
        <v>57</v>
      </c>
      <c r="BF27" s="10">
        <v>58</v>
      </c>
      <c r="BG27" s="10">
        <v>59</v>
      </c>
      <c r="BH27" s="10">
        <v>60</v>
      </c>
      <c r="BI27" s="10">
        <v>61</v>
      </c>
      <c r="BJ27" s="10">
        <v>62</v>
      </c>
      <c r="BK27" s="10">
        <v>63</v>
      </c>
      <c r="BL27" s="10">
        <v>64</v>
      </c>
      <c r="BM27" s="10">
        <v>65</v>
      </c>
      <c r="BN27" s="10">
        <v>66</v>
      </c>
      <c r="BO27" s="10">
        <v>67</v>
      </c>
      <c r="BP27" s="10">
        <v>68</v>
      </c>
      <c r="BQ27" s="10">
        <v>69</v>
      </c>
      <c r="BR27" s="10">
        <v>70</v>
      </c>
      <c r="BS27" s="10">
        <v>71</v>
      </c>
      <c r="BT27" s="10">
        <v>72</v>
      </c>
      <c r="BU27" s="10">
        <v>73</v>
      </c>
      <c r="BV27" s="10">
        <v>74</v>
      </c>
      <c r="BW27" s="10">
        <v>75</v>
      </c>
      <c r="BX27" s="10">
        <v>76</v>
      </c>
    </row>
    <row r="28" spans="1:76" x14ac:dyDescent="0.25">
      <c r="A28" s="11" t="s">
        <v>330</v>
      </c>
      <c r="B28" s="11"/>
      <c r="C28" s="12" t="s">
        <v>331</v>
      </c>
      <c r="D28" s="12" t="s">
        <v>331</v>
      </c>
      <c r="E28" s="11" t="s">
        <v>330</v>
      </c>
      <c r="F28" s="13" t="s">
        <v>332</v>
      </c>
      <c r="G28" s="13" t="s">
        <v>332</v>
      </c>
      <c r="H28" s="13" t="s">
        <v>332</v>
      </c>
      <c r="I28" s="13" t="s">
        <v>332</v>
      </c>
      <c r="J28" s="13" t="s">
        <v>332</v>
      </c>
      <c r="K28" s="11" t="s">
        <v>330</v>
      </c>
      <c r="L28" s="11" t="s">
        <v>330</v>
      </c>
      <c r="M28" s="11" t="s">
        <v>330</v>
      </c>
      <c r="N28" s="13" t="s">
        <v>332</v>
      </c>
      <c r="O28" s="13" t="s">
        <v>332</v>
      </c>
      <c r="P28" s="13" t="s">
        <v>332</v>
      </c>
      <c r="Q28" s="13" t="s">
        <v>332</v>
      </c>
      <c r="R28" s="13" t="s">
        <v>332</v>
      </c>
      <c r="S28" s="13" t="s">
        <v>332</v>
      </c>
      <c r="T28" s="11" t="s">
        <v>330</v>
      </c>
      <c r="U28" s="11" t="s">
        <v>330</v>
      </c>
      <c r="V28" s="13" t="s">
        <v>332</v>
      </c>
      <c r="W28" s="13" t="s">
        <v>332</v>
      </c>
      <c r="X28" s="12" t="s">
        <v>331</v>
      </c>
      <c r="Y28" s="12" t="s">
        <v>331</v>
      </c>
      <c r="Z28" s="13" t="s">
        <v>332</v>
      </c>
      <c r="AA28" s="13" t="s">
        <v>332</v>
      </c>
      <c r="AB28" s="13" t="s">
        <v>332</v>
      </c>
      <c r="AC28" s="13" t="s">
        <v>332</v>
      </c>
      <c r="AD28" s="13" t="s">
        <v>332</v>
      </c>
      <c r="AE28" s="13" t="s">
        <v>332</v>
      </c>
      <c r="AF28" s="13" t="s">
        <v>332</v>
      </c>
      <c r="AG28" s="11" t="s">
        <v>330</v>
      </c>
      <c r="AH28" s="13" t="s">
        <v>332</v>
      </c>
      <c r="AI28" s="13" t="s">
        <v>332</v>
      </c>
      <c r="AJ28" s="13" t="s">
        <v>332</v>
      </c>
      <c r="AK28" s="13" t="s">
        <v>332</v>
      </c>
      <c r="AL28" s="13" t="s">
        <v>332</v>
      </c>
      <c r="AM28" s="13" t="s">
        <v>332</v>
      </c>
      <c r="AN28" s="13" t="s">
        <v>332</v>
      </c>
      <c r="AO28" s="13" t="s">
        <v>332</v>
      </c>
      <c r="AP28" s="13" t="s">
        <v>332</v>
      </c>
      <c r="AQ28" s="13" t="s">
        <v>332</v>
      </c>
      <c r="AR28" s="13" t="s">
        <v>332</v>
      </c>
      <c r="AS28" s="13" t="s">
        <v>332</v>
      </c>
      <c r="AT28" s="13" t="s">
        <v>332</v>
      </c>
      <c r="AU28" s="13" t="s">
        <v>332</v>
      </c>
      <c r="AV28" s="13" t="s">
        <v>332</v>
      </c>
      <c r="AW28" s="13" t="s">
        <v>332</v>
      </c>
      <c r="AX28" s="13" t="s">
        <v>332</v>
      </c>
      <c r="AY28" s="13" t="s">
        <v>332</v>
      </c>
      <c r="AZ28" s="13" t="s">
        <v>332</v>
      </c>
      <c r="BA28" s="13" t="s">
        <v>332</v>
      </c>
      <c r="BB28" s="13" t="s">
        <v>332</v>
      </c>
      <c r="BC28" s="13" t="s">
        <v>332</v>
      </c>
      <c r="BD28" s="13" t="s">
        <v>332</v>
      </c>
      <c r="BE28" s="13" t="s">
        <v>332</v>
      </c>
      <c r="BF28" s="13" t="s">
        <v>332</v>
      </c>
      <c r="BG28" s="13" t="s">
        <v>332</v>
      </c>
      <c r="BH28" s="13" t="s">
        <v>332</v>
      </c>
      <c r="BI28" s="13" t="s">
        <v>332</v>
      </c>
      <c r="BJ28" s="13" t="s">
        <v>332</v>
      </c>
      <c r="BK28" s="13" t="s">
        <v>332</v>
      </c>
      <c r="BL28" s="13" t="s">
        <v>332</v>
      </c>
      <c r="BM28" s="13" t="s">
        <v>332</v>
      </c>
      <c r="BN28" s="13" t="s">
        <v>332</v>
      </c>
      <c r="BO28" s="13" t="s">
        <v>332</v>
      </c>
      <c r="BP28" s="13" t="s">
        <v>332</v>
      </c>
      <c r="BQ28" s="13" t="s">
        <v>332</v>
      </c>
      <c r="BR28" s="13" t="s">
        <v>332</v>
      </c>
      <c r="BS28" s="13" t="s">
        <v>332</v>
      </c>
      <c r="BT28" s="13" t="s">
        <v>332</v>
      </c>
      <c r="BU28" s="13" t="s">
        <v>332</v>
      </c>
      <c r="BV28" s="13" t="s">
        <v>332</v>
      </c>
      <c r="BW28" s="13" t="s">
        <v>332</v>
      </c>
      <c r="BX28" s="13" t="s">
        <v>332</v>
      </c>
    </row>
    <row r="29" spans="1:76" x14ac:dyDescent="0.25">
      <c r="C29" t="s">
        <v>333</v>
      </c>
      <c r="D29" t="s">
        <v>0</v>
      </c>
      <c r="E29" t="s">
        <v>334</v>
      </c>
      <c r="F29" t="s">
        <v>335</v>
      </c>
      <c r="J29" t="s">
        <v>336</v>
      </c>
      <c r="K29" t="s">
        <v>337</v>
      </c>
      <c r="L29" t="s">
        <v>338</v>
      </c>
      <c r="M29" t="s">
        <v>338</v>
      </c>
      <c r="X29" t="s">
        <v>88</v>
      </c>
      <c r="Y29" t="s">
        <v>89</v>
      </c>
    </row>
    <row r="30" spans="1:76" x14ac:dyDescent="0.25">
      <c r="C30" t="s">
        <v>339</v>
      </c>
      <c r="D30" t="s">
        <v>1</v>
      </c>
      <c r="X30" t="s">
        <v>340</v>
      </c>
      <c r="Y30" t="s">
        <v>341</v>
      </c>
    </row>
    <row r="31" spans="1:76" x14ac:dyDescent="0.25">
      <c r="C31" t="s">
        <v>73</v>
      </c>
      <c r="D31" t="s">
        <v>243</v>
      </c>
      <c r="X31" t="s">
        <v>342</v>
      </c>
      <c r="Y31" t="s">
        <v>343</v>
      </c>
    </row>
    <row r="32" spans="1:76" x14ac:dyDescent="0.25">
      <c r="C32" t="s">
        <v>344</v>
      </c>
      <c r="D32" t="s">
        <v>345</v>
      </c>
      <c r="Y32" t="s">
        <v>346</v>
      </c>
    </row>
    <row r="33" spans="1:25" x14ac:dyDescent="0.25">
      <c r="C33" t="s">
        <v>347</v>
      </c>
      <c r="Y33" t="s">
        <v>348</v>
      </c>
    </row>
    <row r="34" spans="1:25" x14ac:dyDescent="0.25">
      <c r="C34" t="s">
        <v>349</v>
      </c>
      <c r="Y34" t="s">
        <v>350</v>
      </c>
    </row>
    <row r="35" spans="1:25" x14ac:dyDescent="0.25">
      <c r="C35" t="s">
        <v>351</v>
      </c>
    </row>
    <row r="37" spans="1:25" x14ac:dyDescent="0.25">
      <c r="A37" t="s">
        <v>352</v>
      </c>
    </row>
    <row r="38" spans="1:25" x14ac:dyDescent="0.25">
      <c r="A38" t="s">
        <v>353</v>
      </c>
    </row>
    <row r="39" spans="1:25" x14ac:dyDescent="0.25">
      <c r="A39" t="s">
        <v>354</v>
      </c>
    </row>
    <row r="40" spans="1:25" x14ac:dyDescent="0.25">
      <c r="A40" t="s">
        <v>355</v>
      </c>
    </row>
    <row r="41" spans="1:25" x14ac:dyDescent="0.25">
      <c r="A41" t="s">
        <v>356</v>
      </c>
    </row>
    <row r="42" spans="1:25" x14ac:dyDescent="0.25">
      <c r="A42" t="s">
        <v>357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H1:AP1"/>
    <mergeCell ref="AQ1:BG1"/>
    <mergeCell ref="BH1:BX1"/>
    <mergeCell ref="A4:B4"/>
  </mergeCells>
  <pageMargins left="0.7" right="0.7" top="0.75" bottom="0.75" header="0.3" footer="0.3"/>
  <pageSetup orientation="portrait" r:id="rId1"/>
  <headerFooter>
    <oddFooter>&amp;L&amp;1#&amp;"Calibri"&amp;8&amp;K000000Internal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Entry</vt:lpstr>
      <vt:lpstr>old location</vt:lpstr>
      <vt:lpstr>Tutorial &amp; Sample Entry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 Dio R.</dc:creator>
  <cp:keywords/>
  <dc:description/>
  <cp:lastModifiedBy>Mochammad Gumilar</cp:lastModifiedBy>
  <dcterms:created xsi:type="dcterms:W3CDTF">2021-06-13T23:25:02Z</dcterms:created>
  <dcterms:modified xsi:type="dcterms:W3CDTF">2024-02-13T20:04:22Z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2021-07-13T15:10:34Z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c887b20f-8a44-4af8-9d68-7b3ba7332e30</vt:lpwstr>
  </property>
  <property fmtid="{D5CDD505-2E9C-101B-9397-08002B2CF9AE}" pid="8" name="MSIP_Label_d5caaddc-90a0-4995-b524-c269e4395a58_ContentBits">
    <vt:lpwstr>2</vt:lpwstr>
  </property>
</Properties>
</file>